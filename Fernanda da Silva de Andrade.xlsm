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redn\Downloads\"/>
    </mc:Choice>
  </mc:AlternateContent>
  <xr:revisionPtr revIDLastSave="0" documentId="13_ncr:1_{1D23BD7A-897C-45D7-B5C8-A129F596751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espesas por função (matriz)" sheetId="1" r:id="rId1"/>
    <sheet name="Gráfico Dinâmico" sheetId="3" r:id="rId2"/>
    <sheet name="Formulário" sheetId="6" r:id="rId3"/>
  </sheet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6" l="1" a="1"/>
  <c r="J9" i="6" s="1"/>
  <c r="I9" i="6" a="1"/>
  <c r="I9" i="6" s="1"/>
  <c r="H9" i="6" a="1"/>
  <c r="H9" i="6" s="1"/>
  <c r="G9" i="6" a="1"/>
  <c r="G9" i="6" s="1"/>
  <c r="F9" i="6" a="1"/>
  <c r="F9" i="6" s="1"/>
  <c r="E9" i="6" a="1"/>
  <c r="E9" i="6" s="1"/>
  <c r="D9" i="6" a="1"/>
  <c r="D9" i="6" s="1"/>
  <c r="C9" i="6" a="1"/>
  <c r="C9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<sst xmlns="http://schemas.openxmlformats.org/spreadsheetml/2006/main" count="2480" uniqueCount="529">
  <si>
    <t>Ano</t>
  </si>
  <si>
    <t>Mês</t>
  </si>
  <si>
    <t>Classificação orçamentária</t>
  </si>
  <si>
    <t>Secretaria</t>
  </si>
  <si>
    <t>Função</t>
  </si>
  <si>
    <t>Subfunção</t>
  </si>
  <si>
    <t>Natureza da despesa</t>
  </si>
  <si>
    <t>Fonte de recurso</t>
  </si>
  <si>
    <t>Empenhado (R$)</t>
  </si>
  <si>
    <t>Liquidado  (R$)</t>
  </si>
  <si>
    <t>Pago  (R$)</t>
  </si>
  <si>
    <t>05.10.3.1.90.11.04.122.0001.2.002.01.110000</t>
  </si>
  <si>
    <t>Gabinete do Prefeito</t>
  </si>
  <si>
    <t>ADMINISTRAÇÃO</t>
  </si>
  <si>
    <t>ADMINISTRAÇÃO GERAL</t>
  </si>
  <si>
    <t>VENCIMENTOS E VANTAGENS FIXAS -  PESSOAL CIVIL</t>
  </si>
  <si>
    <t>TESOURO</t>
  </si>
  <si>
    <t>10.10.3.1.90.11.04.122.0001.2.002.01.110000</t>
  </si>
  <si>
    <t>Secretaria de Governança</t>
  </si>
  <si>
    <t>10.10.3.3.50.85.04.122.0001.2.050.01.110000</t>
  </si>
  <si>
    <t>CONTRATO DE GESTÃO-</t>
  </si>
  <si>
    <t>10.10.3.3.90.14.04.122.0001.2.002.01.110000</t>
  </si>
  <si>
    <t>DIÁRIAS - PESSOAL CIVIL</t>
  </si>
  <si>
    <t>10.10.3.3.90.30.04.122.0001.2.002.01.110000</t>
  </si>
  <si>
    <t>MATERIAL DE CONSUMO</t>
  </si>
  <si>
    <t>10.10.3.3.90.30.04.122.0001.2.002.91.110000</t>
  </si>
  <si>
    <t>TESOURO - EXERCÍCIO ANTERIOR</t>
  </si>
  <si>
    <t>10.10.3.3.90.36.04.122.0001.2.002.01.110000</t>
  </si>
  <si>
    <t>OUTROS SERVIÇOS DE TERCEIROS - PESSOA FÍSICA</t>
  </si>
  <si>
    <t>10.10.3.3.90.36.04.122.0001.2.002.91.110000</t>
  </si>
  <si>
    <t>10.10.3.3.90.39.04.122.0001.2.002.01.110000</t>
  </si>
  <si>
    <t>OUTROS SERVIÇOS DE TERCEIROS -  PESSOA JURÍDICA</t>
  </si>
  <si>
    <t>10.10.3.3.90.39.04.122.0001.2.002.91.110000</t>
  </si>
  <si>
    <t>10.10.3.3.90.39.04.122.0001.2.003.01.110000</t>
  </si>
  <si>
    <t>10.10.3.3.90.39.04.122.0001.2.003.91.110000</t>
  </si>
  <si>
    <t>10.10.3.3.90.39.04.122.0001.2.068.01.110000</t>
  </si>
  <si>
    <t>10.10.3.3.90.39.27.811.0001.2.004.91.110000</t>
  </si>
  <si>
    <t>DESPORTO E LAZER</t>
  </si>
  <si>
    <t>DESPORTO DE RENDIMENTO</t>
  </si>
  <si>
    <t>10.10.3.3.90.48.27.811.0001.2.004.91.110000</t>
  </si>
  <si>
    <t>OUTROS AUXÍLIOS FINANCEIROS A PESSOA FÍSICA</t>
  </si>
  <si>
    <t>10.10.4.4.90.52.04.122.0001.2.002.01.110000</t>
  </si>
  <si>
    <t>EQUIPAMENTOS E MATERIAL PERMANENTE</t>
  </si>
  <si>
    <t>10.10.4.4.90.52.04.122.0001.2.002.91.110000</t>
  </si>
  <si>
    <t>15.10.3.1.90.11.04.122.0001.2.002.01.110000</t>
  </si>
  <si>
    <t>Secretaria de Apoio Jurídico</t>
  </si>
  <si>
    <t>15.10.3.3.90.30.04.122.0001.2.002.01.110000</t>
  </si>
  <si>
    <t>15.10.3.3.90.30.04.122.0001.2.002.93.700000</t>
  </si>
  <si>
    <t>RECURSOS PROPRIOS DE FUNDOS ESPECIAIS DE DESPESA - VINCULADOS - EXERCÍCIO ANTERIOR</t>
  </si>
  <si>
    <t>15.10.3.3.90.30.14.422.0001.2.006.02.100047</t>
  </si>
  <si>
    <t>DIREITOS DA CIDADANIA</t>
  </si>
  <si>
    <t>DIREITOS INDIVIDUAIS, COLETIVOS E DIFUSOS</t>
  </si>
  <si>
    <t>TRANSFERENCIAS E CONVENIOS ESTADUAIS - VINCULADOS</t>
  </si>
  <si>
    <t>15.10.3.3.90.36.04.122.0001.2.002.01.110000</t>
  </si>
  <si>
    <t>15.10.3.3.90.36.14.422.0001.2.006.03.100133</t>
  </si>
  <si>
    <t>RECURSOS PROPRIOS DE FUNDOS ESPECIAIS DE DESPESA - VINCULADOS</t>
  </si>
  <si>
    <t>15.10.3.3.90.39.04.122.0001.2.002.01.110000</t>
  </si>
  <si>
    <t>15.10.3.3.90.39.04.122.0001.2.002.03.700000</t>
  </si>
  <si>
    <t>15.10.3.3.90.39.04.122.0001.2.002.93.700000</t>
  </si>
  <si>
    <t>15.10.3.3.90.39.14.422.0001.2.006.02.100047</t>
  </si>
  <si>
    <t>15.10.3.3.90.39.14.422.0001.2.006.03.100133</t>
  </si>
  <si>
    <t>15.10.3.3.90.40.14.422.0001.2.006.01.110000</t>
  </si>
  <si>
    <t>SERVIÇOS DE TECNOLOGIA DA INFORMAÇÃO E COMUNICAÇÃO - PJ</t>
  </si>
  <si>
    <t>15.10.4.4.90.52.04.122.0001.2.002.93.700000</t>
  </si>
  <si>
    <t>15.10.4.4.90.52.14.422.0001.2.006.02.100047</t>
  </si>
  <si>
    <t>20.10.3.1.90.11.04.122.0001.2.002.01.110000</t>
  </si>
  <si>
    <t>Secretaria de Gestão Administrativa e Finanças</t>
  </si>
  <si>
    <t>20.10.3.3.90.30.04.122.0001.2.002.01.110000</t>
  </si>
  <si>
    <t>20.10.3.3.90.36.04.122.0001.2.002.01.110000</t>
  </si>
  <si>
    <t>20.10.3.3.90.39.04.122.0001.2.002.01.110000</t>
  </si>
  <si>
    <t>20.10.3.3.90.39.04.122.0001.2.051.01.110000</t>
  </si>
  <si>
    <t>20.10.3.3.90.39.04.122.0001.2.051.91.110000</t>
  </si>
  <si>
    <t>20.10.3.3.90.40.04.122.0001.2.051.01.110000</t>
  </si>
  <si>
    <t>20.10.4.4.90.52.04.122.0001.2.051.01.100177</t>
  </si>
  <si>
    <t>30.10.3.1.90.11.15.127.0011.2.002.01.110000</t>
  </si>
  <si>
    <t>Secretaria de Urbanismo e Sustentabilidade</t>
  </si>
  <si>
    <t>URBANISMO</t>
  </si>
  <si>
    <t>ORDENAMENTO TERRITORIAL</t>
  </si>
  <si>
    <t>30.10.3.3.50.39.18.541.0011.2.052.93.100050</t>
  </si>
  <si>
    <t>GESTÃO AMBIENTAL</t>
  </si>
  <si>
    <t>PRESERVAÇÃO E CONSERVAÇÃO AMBIENTAL</t>
  </si>
  <si>
    <t>OUTROS SERVIÇOS DE TERCEIROS -PESSOA JURÍDICA</t>
  </si>
  <si>
    <t>30.10.3.3.71.70.15.127.0011.2.011.01.100190</t>
  </si>
  <si>
    <t>RATEIO PELA PARTICIPAÇÃO EM CONSÓRCIO PÚBLICO</t>
  </si>
  <si>
    <t>30.10.3.3.90.30.15.127.0011.2.002.01.110000</t>
  </si>
  <si>
    <t>30.10.3.3.90.30.18.541.0011.2.052.03.100050</t>
  </si>
  <si>
    <t>30.10.3.3.90.36.15.127.0011.2.002.01.110000</t>
  </si>
  <si>
    <t>30.10.3.3.90.39.15.127.0011.2.002.01.110000</t>
  </si>
  <si>
    <t>30.10.3.3.90.39.15.127.0011.2.011.01.110000</t>
  </si>
  <si>
    <t>30.10.3.3.90.39.15.127.0011.2.011.03.100134</t>
  </si>
  <si>
    <t>30.10.3.3.90.39.15.127.0011.2.011.03.700000</t>
  </si>
  <si>
    <t>30.10.3.3.90.39.15.127.0011.2.011.93.700000</t>
  </si>
  <si>
    <t>30.10.3.3.90.39.18.541.0011.2.052.02.100001</t>
  </si>
  <si>
    <t>30.10.3.3.90.39.18.541.0011.2.052.03.100050</t>
  </si>
  <si>
    <t>30.10.3.3.90.39.18.541.0011.2.052.03.100068</t>
  </si>
  <si>
    <t>30.10.3.3.90.39.18.541.0011.2.052.93.100068</t>
  </si>
  <si>
    <t>30.10.4.4.90.51.18.541.0011.2.052.91.110000</t>
  </si>
  <si>
    <t>OBRAS E INSTALAÇÕES</t>
  </si>
  <si>
    <t>30.10.4.4.90.52.15.127.0011.2.002.93.700000</t>
  </si>
  <si>
    <t>30.10.4.4.90.52.18.541.0011.2.052.93.100050</t>
  </si>
  <si>
    <t>30.10.4.4.90.93.15.127.0011.2.011.05.100121</t>
  </si>
  <si>
    <t>INDENIZAÇÕES E RESTITUIÇÕES</t>
  </si>
  <si>
    <t>TRANSFERENCIAS E CONVENIOS FEDERAIS - VINCULADOS</t>
  </si>
  <si>
    <t>30.10.4.4.90.93.15.127.0011.2.011.95.100121</t>
  </si>
  <si>
    <t>TRANSFERENCIAS E CONVENIOS FEDERAIS - VINCULADOS - EXERCÍCIO ANTERIOR</t>
  </si>
  <si>
    <t>35.10.3.1.90.11.15.451.0002.2.002.01.110000</t>
  </si>
  <si>
    <t>Secretaria de Gestão Habitacional e Obras</t>
  </si>
  <si>
    <t>INFRA-ESTRUTURA URBANA</t>
  </si>
  <si>
    <t>35.10.3.3.90.30.15.451.0002.2.002.01.110000</t>
  </si>
  <si>
    <t>35.10.3.3.90.36.15.451.0002.2.002.01.110000</t>
  </si>
  <si>
    <t>35.10.3.3.90.39.15.451.0002.1.003.03.100058</t>
  </si>
  <si>
    <t>35.10.3.3.90.39.15.451.0002.2.002.01.110000</t>
  </si>
  <si>
    <t>35.10.3.3.90.39.15.451.0002.2.002.91.110000</t>
  </si>
  <si>
    <t>35.10.3.3.90.40.15.451.0002.2.002.01.110000</t>
  </si>
  <si>
    <t>35.10.3.3.90.48.15.451.0002.2.002.01.110000</t>
  </si>
  <si>
    <t>35.10.3.3.90.92.15.451.0002.2.002.01.110000</t>
  </si>
  <si>
    <t>DESPESAS DE EXERCÍCIOS ANTERIORES</t>
  </si>
  <si>
    <t>35.10.4.4.90.51.15.451.0002.1.003.01.100137</t>
  </si>
  <si>
    <t>35.10.4.4.90.51.15.451.0002.1.003.01.110000</t>
  </si>
  <si>
    <t>35.10.4.4.90.51.15.451.0002.1.003.01.140000</t>
  </si>
  <si>
    <t>35.10.4.4.90.51.15.451.0002.1.003.91.110000</t>
  </si>
  <si>
    <t>35.10.4.4.90.52.15.451.0002.2.002.01.110000</t>
  </si>
  <si>
    <t>35.10.4.4.90.61.15.451.0002.1.003.91.110000</t>
  </si>
  <si>
    <t>AQUISIÇÃO DE IMÓVEIS</t>
  </si>
  <si>
    <t>40.10.3.1.90.04.12.361.0003.2.013.02.220221</t>
  </si>
  <si>
    <t>Secretaria de Educação e Cidadania</t>
  </si>
  <si>
    <t>EDUCAÇÃO</t>
  </si>
  <si>
    <t>ENSINO FUNDAMENTAL</t>
  </si>
  <si>
    <t>CONTRATAÇÃO POR TEMPO DETERMINADO</t>
  </si>
  <si>
    <t>40.10.3.1.90.11.12.122.0003.2.064.01.110000</t>
  </si>
  <si>
    <t>40.10.3.1.90.11.12.361.0003.2.012.01.220000</t>
  </si>
  <si>
    <t>40.10.3.1.90.11.12.361.0003.2.013.02.220221</t>
  </si>
  <si>
    <t>40.10.3.1.90.13.12.122.0003.2.064.01.110000</t>
  </si>
  <si>
    <t>OBRIGAÇÕES PATRONAIS</t>
  </si>
  <si>
    <t>40.10.3.1.90.13.12.361.0003.2.012.01.220000</t>
  </si>
  <si>
    <t>40.10.3.1.90.13.12.361.0003.2.013.02.220221</t>
  </si>
  <si>
    <t>40.10.3.1.90.16.12.361.0003.2.012.01.220000</t>
  </si>
  <si>
    <t>OUTRAS DESPESAS VARIÁVEIS - PESSOAL CIVIL</t>
  </si>
  <si>
    <t>40.10.3.1.91.13.12.122.0003.2.064.01.110000</t>
  </si>
  <si>
    <t>40.10.3.1.91.13.12.361.0003.2.013.02.220221</t>
  </si>
  <si>
    <t>40.10.3.3.50.39.12.361.0003.2.013.01.220000</t>
  </si>
  <si>
    <t>40.10.3.3.50.39.12.361.0003.2.013.02.220221</t>
  </si>
  <si>
    <t>40.10.3.3.50.39.12.365.0003.2.028.01.210000</t>
  </si>
  <si>
    <t>EDUCAÇÃO INFANTIL</t>
  </si>
  <si>
    <t>40.10.3.3.50.39.12.367.0003.2.017.01.240000</t>
  </si>
  <si>
    <t>EDUCAÇÃO ESPECIAL</t>
  </si>
  <si>
    <t>40.10.3.3.50.39.12.367.0003.2.017.02.240221</t>
  </si>
  <si>
    <t>40.10.3.3.90.08.12.122.0003.2.064.01.110000</t>
  </si>
  <si>
    <t>OUTROS BENEFÍCIOS ASSISTENCIAIS DO SERVIDOR E DO MILITAR</t>
  </si>
  <si>
    <t>40.10.3.3.90.08.12.361.0003.2.012.01.220000</t>
  </si>
  <si>
    <t>40.10.3.3.90.08.12.361.0003.2.013.01.220000</t>
  </si>
  <si>
    <t>40.10.3.3.90.08.12.365.0003.2.054.01.212000</t>
  </si>
  <si>
    <t>40.10.3.3.90.08.12.365.0003.2.054.01.213000</t>
  </si>
  <si>
    <t>40.10.3.3.90.08.12.367.0003.2.017.01.240000</t>
  </si>
  <si>
    <t>40.10.3.3.90.14.12.361.0003.2.012.01.220000</t>
  </si>
  <si>
    <t>40.10.3.3.90.30.12.306.0003.2.025.02.220222</t>
  </si>
  <si>
    <t>ALIMENTAÇÃO E NUTRIÇÃO</t>
  </si>
  <si>
    <t>40.10.3.3.90.30.12.306.0003.2.025.05.281032</t>
  </si>
  <si>
    <t>40.10.3.3.90.30.12.306.0003.2.025.05.282032</t>
  </si>
  <si>
    <t>40.10.3.3.90.30.12.306.0003.2.025.05.283011</t>
  </si>
  <si>
    <t>40.10.3.3.90.30.12.306.0003.2.025.05.284011</t>
  </si>
  <si>
    <t>40.10.3.3.90.30.12.306.0003.2.025.05.285011</t>
  </si>
  <si>
    <t>40.10.3.3.90.30.12.306.0003.2.025.95.284011</t>
  </si>
  <si>
    <t>40.10.3.3.90.30.12.361.0003.2.012.01.220000</t>
  </si>
  <si>
    <t>40.10.3.3.90.30.12.361.0003.2.013.01.220000</t>
  </si>
  <si>
    <t>40.10.3.3.90.30.12.361.0003.2.013.02.220221</t>
  </si>
  <si>
    <t>40.10.3.3.90.30.12.361.0003.2.013.05.282032</t>
  </si>
  <si>
    <t>40.10.3.3.90.30.12.361.0003.2.013.95.282032</t>
  </si>
  <si>
    <t>40.10.3.3.90.30.12.365.0003.2.054.01.212000</t>
  </si>
  <si>
    <t>40.10.3.3.90.30.12.365.0003.2.054.01.213000</t>
  </si>
  <si>
    <t>40.10.3.3.90.30.12.365.0003.2.054.05.280032</t>
  </si>
  <si>
    <t>40.10.3.3.90.30.12.365.0003.2.054.95.212087</t>
  </si>
  <si>
    <t>40.10.3.3.90.30.12.365.0003.2.054.95.212116</t>
  </si>
  <si>
    <t>40.10.3.3.90.30.12.366.0003.2.016.01.220000</t>
  </si>
  <si>
    <t>EDUCAÇÃO DE JOVENS E ADULTOS</t>
  </si>
  <si>
    <t>40.10.3.3.90.30.12.367.0003.2.017.01.240000</t>
  </si>
  <si>
    <t>40.10.3.3.90.30.13.392.0003.2.057.01.220108</t>
  </si>
  <si>
    <t>CULTURA</t>
  </si>
  <si>
    <t>DIFUSÃO CULTURAL</t>
  </si>
  <si>
    <t>40.10.3.3.90.36.12.361.0003.2.012.01.220000</t>
  </si>
  <si>
    <t>40.10.3.3.90.36.12.361.0003.2.013.01.220000</t>
  </si>
  <si>
    <t>40.10.3.3.90.36.12.361.0003.2.026.01.220000</t>
  </si>
  <si>
    <t>40.10.3.3.90.36.12.361.0003.2.026.02.220013</t>
  </si>
  <si>
    <t>40.10.3.3.90.36.12.361.0003.2.026.05.288089</t>
  </si>
  <si>
    <t>40.10.3.3.90.36.12.365.0003.2.054.01.212000</t>
  </si>
  <si>
    <t>40.10.3.3.90.36.12.365.0003.2.054.01.213000</t>
  </si>
  <si>
    <t>40.10.3.3.90.37.12.361.0003.2.012.01.220000</t>
  </si>
  <si>
    <t>LOCAÇÃO DE MÃO-DE-OBRA</t>
  </si>
  <si>
    <t>40.10.3.3.90.37.12.361.0003.2.013.01.220000</t>
  </si>
  <si>
    <t>40.10.3.3.90.37.12.365.0003.2.054.01.212000</t>
  </si>
  <si>
    <t>40.10.3.3.90.37.12.365.0003.2.054.01.213000</t>
  </si>
  <si>
    <t>40.10.3.3.90.39.04.122.0003.2.053.01.220103</t>
  </si>
  <si>
    <t>40.10.3.3.90.39.12.122.0003.2.064.01.110000</t>
  </si>
  <si>
    <t>40.10.3.3.90.39.12.306.0003.2.025.02.220222</t>
  </si>
  <si>
    <t>40.10.3.3.90.39.12.306.0003.2.025.05.281032</t>
  </si>
  <si>
    <t>40.10.3.3.90.39.12.306.0003.2.025.05.282032</t>
  </si>
  <si>
    <t>40.10.3.3.90.39.12.361.0003.2.007.01.220000</t>
  </si>
  <si>
    <t>40.10.3.3.90.39.12.361.0003.2.012.01.220000</t>
  </si>
  <si>
    <t>40.10.3.3.90.39.12.361.0003.2.013.01.220000</t>
  </si>
  <si>
    <t>40.10.3.3.90.39.12.361.0003.2.013.02.220221</t>
  </si>
  <si>
    <t>40.10.3.3.90.39.12.361.0003.2.013.05.282032</t>
  </si>
  <si>
    <t>40.10.3.3.90.39.12.361.0003.2.026.01.220000</t>
  </si>
  <si>
    <t>40.10.3.3.90.39.12.361.0003.2.026.02.220013</t>
  </si>
  <si>
    <t>40.10.3.3.90.39.12.365.0003.2.054.01.212000</t>
  </si>
  <si>
    <t>40.10.3.3.90.39.12.365.0003.2.054.01.213000</t>
  </si>
  <si>
    <t>40.10.3.3.90.39.12.365.0003.2.054.05.281032</t>
  </si>
  <si>
    <t>40.10.3.3.90.39.12.365.0003.2.054.95.212087</t>
  </si>
  <si>
    <t>40.10.3.3.90.39.13.392.0003.2.057.01.220108</t>
  </si>
  <si>
    <t>40.10.3.3.90.40.12.361.0003.2.012.01.220000</t>
  </si>
  <si>
    <t>40.10.3.3.90.40.12.361.0003.2.013.02.220221</t>
  </si>
  <si>
    <t>40.10.3.3.90.46.12.122.0003.2.064.01.110000</t>
  </si>
  <si>
    <t>AUXÍLIO ALIMENTAÇÃO</t>
  </si>
  <si>
    <t>40.10.3.3.90.46.12.361.0003.2.012.01.220000</t>
  </si>
  <si>
    <t>40.10.3.3.90.46.12.361.0003.2.013.01.220000</t>
  </si>
  <si>
    <t>40.10.3.3.90.46.12.361.0003.2.013.02.220221</t>
  </si>
  <si>
    <t>40.10.3.3.90.46.12.365.0003.2.054.01.212000</t>
  </si>
  <si>
    <t>40.10.3.3.90.46.12.365.0003.2.054.01.213000</t>
  </si>
  <si>
    <t>40.10.3.3.90.46.12.367.0003.2.017.01.240000</t>
  </si>
  <si>
    <t>40.10.3.3.91.39.12.361.0003.2.013.01.220000</t>
  </si>
  <si>
    <t>OUTROS SERVIÇOS DE TERCEIROS -  PESSOA JURÍDICA - INTRA-ORÇAMENTÁRIO</t>
  </si>
  <si>
    <t>40.10.4.4.90.51.12.361.0003.1.015.01.220000</t>
  </si>
  <si>
    <t>40.10.4.4.90.51.12.361.0003.1.015.95.282032</t>
  </si>
  <si>
    <t>40.10.4.4.90.51.12.365.0003.1.014.01.213000</t>
  </si>
  <si>
    <t>40.10.4.4.90.51.12.365.0003.1.014.95.280032</t>
  </si>
  <si>
    <t>40.10.4.4.90.52.12.306.0003.2.025.05.282032</t>
  </si>
  <si>
    <t>40.10.4.4.90.52.12.361.0003.2.013.01.220000</t>
  </si>
  <si>
    <t>40.10.4.4.90.52.12.361.0003.2.013.02.220221</t>
  </si>
  <si>
    <t>40.10.4.4.90.52.12.361.0003.2.013.95.282032</t>
  </si>
  <si>
    <t>40.10.4.4.90.52.12.365.0003.2.054.05.281032</t>
  </si>
  <si>
    <t>40.10.4.4.90.52.12.365.0003.2.054.95.281032</t>
  </si>
  <si>
    <t>40.10.4.4.90.52.13.392.0003.2.057.01.220108</t>
  </si>
  <si>
    <t>40.20.3.1.90.04.12.361.0003.2.021.02.261000</t>
  </si>
  <si>
    <t>40.20.3.1.90.04.12.365.0003.2.022.02.272000</t>
  </si>
  <si>
    <t>40.20.3.1.90.04.12.365.0003.2.023.02.271000</t>
  </si>
  <si>
    <t>40.20.3.1.90.11.12.361.0003.2.021.02.261000</t>
  </si>
  <si>
    <t>40.20.3.1.90.11.12.361.0003.2.067.02.261000</t>
  </si>
  <si>
    <t>40.20.3.1.90.11.12.365.0003.2.022.02.272000</t>
  </si>
  <si>
    <t>40.20.3.1.90.11.12.365.0003.2.023.02.271000</t>
  </si>
  <si>
    <t>40.20.3.1.90.11.12.367.0003.2.061.02.261000</t>
  </si>
  <si>
    <t>40.20.3.1.90.13.12.361.0003.2.021.02.261000</t>
  </si>
  <si>
    <t>40.20.3.1.90.13.12.365.0003.2.022.02.272000</t>
  </si>
  <si>
    <t>40.20.3.1.90.13.12.365.0003.2.023.02.271000</t>
  </si>
  <si>
    <t>40.20.3.1.90.16.12.361.0003.2.021.02.261000</t>
  </si>
  <si>
    <t>40.20.3.1.90.16.12.361.0003.2.067.02.261000</t>
  </si>
  <si>
    <t>40.20.3.1.90.16.12.365.0003.2.022.02.272000</t>
  </si>
  <si>
    <t>40.20.3.1.90.16.12.365.0003.2.023.02.271000</t>
  </si>
  <si>
    <t>40.20.3.1.90.16.12.367.0003.2.061.02.261000</t>
  </si>
  <si>
    <t>40.20.3.1.90.94.12.361.0003.2.021.02.261000</t>
  </si>
  <si>
    <t>INDENIZAÇÕES E RESTITUIÇÕES TRABALHISTAS</t>
  </si>
  <si>
    <t>40.20.3.1.90.94.12.365.0003.2.022.02.272000</t>
  </si>
  <si>
    <t>40.20.3.1.91.13.12.361.0003.2.021.02.261000</t>
  </si>
  <si>
    <t>40.20.3.1.91.13.12.361.0003.2.067.02.261000</t>
  </si>
  <si>
    <t>40.20.3.1.91.13.12.365.0003.2.022.02.272000</t>
  </si>
  <si>
    <t>40.20.3.1.91.13.12.365.0003.2.023.02.271000</t>
  </si>
  <si>
    <t>40.20.3.1.91.13.12.367.0003.2.061.02.261000</t>
  </si>
  <si>
    <t>40.20.3.3.90.30.12.367.0003.2.061.02.262000</t>
  </si>
  <si>
    <t>40.20.3.3.90.37.12.361.0003.2.021.02.262000</t>
  </si>
  <si>
    <t>40.20.3.3.90.40.12.361.0003.2.021.02.262000</t>
  </si>
  <si>
    <t>40.20.4.4.90.51.12.361.0003.1.015.02.262000</t>
  </si>
  <si>
    <t>40.20.4.4.90.51.12.365.0003.1.014.02.273000</t>
  </si>
  <si>
    <t>40.20.4.4.90.52.12.361.0003.2.021.02.262000</t>
  </si>
  <si>
    <t>40.20.4.4.90.52.12.365.0003.2.022.02.274000</t>
  </si>
  <si>
    <t>45.10.3.1.90.11.27.812.0004.2.002.01.110000</t>
  </si>
  <si>
    <t>Secretaria de Esporte e Qualidade de Vida</t>
  </si>
  <si>
    <t>DESPORTO COMUNITÁRIO</t>
  </si>
  <si>
    <t>45.10.3.3.50.39.27.812.0004.2.029.01.110000</t>
  </si>
  <si>
    <t>45.10.3.3.50.39.27.812.0004.2.029.92.100223</t>
  </si>
  <si>
    <t>TRANSFERENCIAS E CONVENIOS ESTADUAIS - VINCULADOS - EXERCÍCIO ANTERIOR</t>
  </si>
  <si>
    <t>45.10.3.3.50.39.27.812.0004.2.029.95.100204</t>
  </si>
  <si>
    <t>45.10.3.3.50.85.27.812.0004.2.029.01.110000</t>
  </si>
  <si>
    <t>45.10.3.3.90.30.27.812.0004.2.029.01.110000</t>
  </si>
  <si>
    <t>45.10.3.3.90.30.27.812.0004.2.063.01.110000</t>
  </si>
  <si>
    <t>45.10.3.3.90.36.27.812.0004.2.002.01.110000</t>
  </si>
  <si>
    <t>45.10.3.3.90.36.27.812.0004.2.029.01.110000</t>
  </si>
  <si>
    <t>45.10.3.3.90.39.27.812.0004.2.002.01.110000</t>
  </si>
  <si>
    <t>45.10.3.3.90.39.27.812.0004.2.029.01.110000</t>
  </si>
  <si>
    <t>45.10.3.3.90.39.27.812.0004.2.029.03.100195</t>
  </si>
  <si>
    <t>45.10.3.3.90.39.27.812.0004.2.063.01.110000</t>
  </si>
  <si>
    <t>45.10.3.3.90.48.27.812.0004.2.029.03.100195</t>
  </si>
  <si>
    <t>45.10.3.3.90.48.27.812.0004.2.063.01.110000</t>
  </si>
  <si>
    <t>45.10.4.4.90.51.27.812.0004.2.029.01.110000</t>
  </si>
  <si>
    <t>45.10.4.4.90.51.27.812.0004.2.029.91.110000</t>
  </si>
  <si>
    <t>45.10.4.4.90.52.27.812.0004.2.002.01.110000</t>
  </si>
  <si>
    <t>45.10.4.4.90.52.27.812.0004.2.063.01.110000</t>
  </si>
  <si>
    <t>50.10.3.1.90.11.08.244.0005.2.002.01.510000</t>
  </si>
  <si>
    <t>Secretaria de Apoio Social ao Cidadão</t>
  </si>
  <si>
    <t>ASSISTÊNCIA SOCIAL</t>
  </si>
  <si>
    <t>ASSISTÊNCIA COMUNITÁRIA</t>
  </si>
  <si>
    <t>50.10.3.3.50.39.08.243.0005.2.066.01.510000</t>
  </si>
  <si>
    <t>ASSISTÊNCIA A CRIANÇA E AO ADOLESCENTE</t>
  </si>
  <si>
    <t>50.10.3.3.50.39.08.243.0005.2.066.03.500193</t>
  </si>
  <si>
    <t>50.10.3.3.50.39.08.244.0005.2.031.01.510000</t>
  </si>
  <si>
    <t>50.10.3.3.50.39.08.244.0005.2.031.02.500041</t>
  </si>
  <si>
    <t>50.10.3.3.90.30.08.243.0005.2.066.01.510000</t>
  </si>
  <si>
    <t>50.10.3.3.90.30.08.244.0005.2.002.01.510000</t>
  </si>
  <si>
    <t>50.10.3.3.90.30.08.244.0005.2.031.01.510000</t>
  </si>
  <si>
    <t>50.10.3.3.90.30.08.244.0005.2.031.05.500042</t>
  </si>
  <si>
    <t>50.10.3.3.90.32.08.244.0005.2.031.01.510000</t>
  </si>
  <si>
    <t>MATERIAL, BEM OU SERVIÇO PARA DISTRIBUIÇÃO GRATUITA</t>
  </si>
  <si>
    <t>50.10.3.3.90.36.08.243.0005.2.066.01.510000</t>
  </si>
  <si>
    <t>50.10.3.3.90.36.08.244.0005.2.002.01.510000</t>
  </si>
  <si>
    <t>50.10.3.3.90.36.08.244.0005.2.031.01.510000</t>
  </si>
  <si>
    <t>50.10.3.3.90.36.08.244.0005.2.031.05.500042</t>
  </si>
  <si>
    <t>50.10.3.3.90.39.08.243.0005.2.066.01.510000</t>
  </si>
  <si>
    <t>50.10.3.3.90.39.08.243.0005.2.066.03.500193</t>
  </si>
  <si>
    <t>50.10.3.3.90.39.08.244.0005.2.002.01.510000</t>
  </si>
  <si>
    <t>50.10.3.3.90.39.08.244.0005.2.031.01.510000</t>
  </si>
  <si>
    <t>50.10.3.3.90.39.08.244.0005.2.031.05.500042</t>
  </si>
  <si>
    <t>50.10.3.3.90.39.08.244.0005.2.031.92.500041</t>
  </si>
  <si>
    <t>50.10.3.3.90.40.08.244.0005.2.031.01.510000</t>
  </si>
  <si>
    <t>50.10.3.3.90.48.08.243.0005.2.066.01.500194</t>
  </si>
  <si>
    <t>50.10.3.3.90.48.08.244.0005.2.031.01.510000</t>
  </si>
  <si>
    <t>50.10.3.3.90.48.08.244.0005.2.031.92.500041</t>
  </si>
  <si>
    <t>50.10.4.4.50.39.08.244.0005.2.002.03.500072</t>
  </si>
  <si>
    <t>50.10.4.4.50.39.08.244.0005.2.002.93.500072</t>
  </si>
  <si>
    <t>50.10.4.4.90.52.08.243.0005.2.066.01.510000</t>
  </si>
  <si>
    <t>50.10.4.4.90.52.08.244.0005.2.002.01.510000</t>
  </si>
  <si>
    <t>50.10.4.4.90.52.08.244.0005.2.031.05.500042</t>
  </si>
  <si>
    <t>50.10.4.4.90.52.08.244.0005.2.031.95.800198</t>
  </si>
  <si>
    <t>55.10.3.1.90.11.04.452.0008.2.002.01.110000</t>
  </si>
  <si>
    <t>Secretaria de Manutenção da Cidade</t>
  </si>
  <si>
    <t>SERVIÇOS URBANOS</t>
  </si>
  <si>
    <t>55.10.3.3.90.30.04.452.0008.2.002.01.110000</t>
  </si>
  <si>
    <t>55.10.3.3.90.30.15.451.0008.2.043.93.100081</t>
  </si>
  <si>
    <t>55.10.3.3.90.30.15.452.0008.2.044.01.110000</t>
  </si>
  <si>
    <t>55.10.3.3.90.36.15.452.0008.2.044.01.110000</t>
  </si>
  <si>
    <t>55.10.3.3.90.39.04.452.0008.2.002.01.110000</t>
  </si>
  <si>
    <t>55.10.3.3.90.39.15.451.0008.2.043.03.100081</t>
  </si>
  <si>
    <t>55.10.3.3.90.39.15.452.0008.2.044.01.110000</t>
  </si>
  <si>
    <t>55.10.3.3.90.39.17.512.0008.2.045.01.110000</t>
  </si>
  <si>
    <t>SANEAMENTO</t>
  </si>
  <si>
    <t>SANEAMENTO BÁSICO URBANO</t>
  </si>
  <si>
    <t>55.10.3.3.90.93.15.452.0008.2.044.01.110000</t>
  </si>
  <si>
    <t>55.10.4.4.90.51.15.451.0008.2.043.03.100081</t>
  </si>
  <si>
    <t>55.10.4.4.90.52.04.452.0008.2.002.01.110000</t>
  </si>
  <si>
    <t>60.10.3.1.90.11.10.301.0006.2.002.01.301000</t>
  </si>
  <si>
    <t>Secretaria de Saúde</t>
  </si>
  <si>
    <t>SAÚDE</t>
  </si>
  <si>
    <t>ATENÇÃO BÁSICA</t>
  </si>
  <si>
    <t>60.10.3.1.90.13.10.301.0006.2.002.01.301000</t>
  </si>
  <si>
    <t>60.10.3.1.90.16.10.301.0006.2.002.01.301000</t>
  </si>
  <si>
    <t>60.10.3.1.90.94.10.301.0006.2.002.01.301000</t>
  </si>
  <si>
    <t>60.10.3.1.90.96.10.301.0006.2.002.01.301000</t>
  </si>
  <si>
    <t>RESSARCIMENTO DE DESPESAS DE PESSOAL REQUISITADO</t>
  </si>
  <si>
    <t>60.10.3.1.91.13.10.301.0006.2.002.01.301000</t>
  </si>
  <si>
    <t>60.10.3.3.90.08.10.301.0006.2.002.01.301000</t>
  </si>
  <si>
    <t>60.10.3.3.90.14.10.301.0006.2.002.01.301000</t>
  </si>
  <si>
    <t>60.10.3.3.90.30.10.301.0006.2.002.01.301000</t>
  </si>
  <si>
    <t>60.10.3.3.90.36.10.301.0006.2.002.01.301000</t>
  </si>
  <si>
    <t>60.10.3.3.90.36.10.301.0006.2.051.01.301000</t>
  </si>
  <si>
    <t>60.10.3.3.90.37.10.301.0006.2.051.01.301000</t>
  </si>
  <si>
    <t>60.10.3.3.90.39.10.301.0006.2.002.01.301000</t>
  </si>
  <si>
    <t>60.10.3.3.90.39.10.301.0006.2.002.91.301000</t>
  </si>
  <si>
    <t>60.10.3.3.90.39.10.301.0006.2.007.01.301000</t>
  </si>
  <si>
    <t>60.10.3.3.90.39.10.301.0006.2.051.01.301000</t>
  </si>
  <si>
    <t>60.10.3.3.90.39.10.301.0006.2.051.01.312167</t>
  </si>
  <si>
    <t>60.10.3.3.90.46.10.301.0006.2.002.01.301000</t>
  </si>
  <si>
    <t>60.10.4.4.90.51.10.122.0006.2.062.06.340000</t>
  </si>
  <si>
    <t>OUTRAS FONTES DE RECURSOS</t>
  </si>
  <si>
    <t>60.10.4.4.90.51.10.122.0006.2.062.96.340000</t>
  </si>
  <si>
    <t>OUTRAS FONTES DE RECURSOS - EXERCÍCIO ANTERIOR</t>
  </si>
  <si>
    <t>60.10.4.4.90.52.10.122.0006.2.062.06.340000</t>
  </si>
  <si>
    <t>60.10.4.4.90.52.10.301.0006.1.010.05.800055</t>
  </si>
  <si>
    <t>60.30.3.3.50.39.10.302.0006.2.033.01.302000</t>
  </si>
  <si>
    <t>ASSISTÊNCIA HOSPITALAR E AMBULATORIAL</t>
  </si>
  <si>
    <t>60.30.3.3.50.39.10.302.0006.2.033.01.312167</t>
  </si>
  <si>
    <t>60.30.3.3.50.39.10.302.0006.2.033.02.302024</t>
  </si>
  <si>
    <t>60.30.3.3.50.39.10.302.0006.2.033.05.302023</t>
  </si>
  <si>
    <t>60.30.3.3.50.39.10.302.0006.2.033.92.302024</t>
  </si>
  <si>
    <t>60.30.3.3.71.70.10.302.0006.2.032.01.302000</t>
  </si>
  <si>
    <t>60.30.3.3.71.70.10.302.0006.2.032.05.302023</t>
  </si>
  <si>
    <t>60.50.3.1.90.04.10.301.0006.2.034.05.3130000</t>
  </si>
  <si>
    <t>60.50.3.1.90.04.10.305.0006.2.038.05.3130000</t>
  </si>
  <si>
    <t>VIGILÂNCIA EPIDEMIOLÓGICA</t>
  </si>
  <si>
    <t>60.50.3.3.50.39.10.301.0006.2.034.01.301000</t>
  </si>
  <si>
    <t>60.50.3.3.90.30.04.304.0006.2.055.01.303000</t>
  </si>
  <si>
    <t>VIGILÂNCIA SANITÁRIA</t>
  </si>
  <si>
    <t>60.50.3.3.90.30.10.301.0006.2.034.01.301000</t>
  </si>
  <si>
    <t>60.50.3.3.90.30.10.301.0006.2.034.02.301024</t>
  </si>
  <si>
    <t>60.50.3.3.90.30.10.301.0006.2.034.05.301022</t>
  </si>
  <si>
    <t>60.50.3.3.90.30.10.301.0006.2.034.92.301024</t>
  </si>
  <si>
    <t>60.50.3.3.90.30.10.303.0006.2.036.01.304000</t>
  </si>
  <si>
    <t>SUPORTE PROFILÁTICO E TERAPÊUTICO</t>
  </si>
  <si>
    <t>60.50.3.3.90.30.10.303.0006.2.036.05.304040</t>
  </si>
  <si>
    <t>60.50.3.3.90.30.10.304.0006.2.037.06.320000</t>
  </si>
  <si>
    <t>60.50.3.3.90.30.10.305.0006.2.038.01.303000</t>
  </si>
  <si>
    <t>60.50.3.3.90.30.10.305.0006.2.038.05.303019</t>
  </si>
  <si>
    <t>60.50.3.3.90.32.10.301.0006.2.034.05.301022</t>
  </si>
  <si>
    <t>60.50.3.3.90.36.10.301.0006.2.034.01.301000</t>
  </si>
  <si>
    <t>60.50.3.3.90.36.10.304.0006.2.037.06.320000</t>
  </si>
  <si>
    <t>60.50.3.3.90.36.10.305.0006.2.038.05.303038</t>
  </si>
  <si>
    <t>60.50.3.3.90.37.10.301.0006.2.034.01.301000</t>
  </si>
  <si>
    <t>60.50.3.3.90.39.04.304.0006.2.055.01.303000</t>
  </si>
  <si>
    <t>60.50.3.3.90.39.04.304.0006.2.055.91.303000</t>
  </si>
  <si>
    <t>60.50.3.3.90.39.04.304.0006.2.055.96.320000</t>
  </si>
  <si>
    <t>60.50.3.3.90.39.04.304.0006.2.060.01.303000</t>
  </si>
  <si>
    <t>60.50.3.3.90.39.10.301.0006.2.034.01.301000</t>
  </si>
  <si>
    <t>60.50.3.3.90.39.10.301.0006.2.034.05.301022</t>
  </si>
  <si>
    <t>60.50.3.3.90.39.10.301.0006.2.034.95.305053</t>
  </si>
  <si>
    <t>60.50.3.3.90.39.10.301.0006.2.034.95.312161</t>
  </si>
  <si>
    <t>60.50.3.3.90.39.10.304.0006.2.037.06.320000</t>
  </si>
  <si>
    <t>60.50.3.3.90.39.10.305.0006.2.038.01.303000</t>
  </si>
  <si>
    <t>60.50.3.3.90.39.10.305.0006.2.038.05.303019</t>
  </si>
  <si>
    <t>60.50.3.3.90.39.10.305.0006.2.038.05.303038</t>
  </si>
  <si>
    <t>60.50.3.3.90.39.10.305.0006.2.038.06.320000</t>
  </si>
  <si>
    <t>60.50.3.3.90.39.10.305.0006.2.038.95.303019</t>
  </si>
  <si>
    <t>60.50.3.3.90.40.10.301.0006.2.034.05.301022</t>
  </si>
  <si>
    <t>60.50.3.3.90.48.10.301.0006.2.034.01.301000</t>
  </si>
  <si>
    <t>60.50.3.3.90.92.10.301.0006.2.034.01.301000</t>
  </si>
  <si>
    <t>60.50.3.3.90.92.10.305.0006.2.038.95.303038</t>
  </si>
  <si>
    <t>60.50.4.4.90.52.04.304.0006.2.055.01.303000</t>
  </si>
  <si>
    <t>60.50.4.4.90.52.10.304.0006.2.037.06.320000</t>
  </si>
  <si>
    <t>60.70.3.3.50.39.10.302.0006.2.035.01.302000</t>
  </si>
  <si>
    <t>60.70.3.3.50.39.10.302.0006.2.059.01.302000</t>
  </si>
  <si>
    <t>60.70.3.3.50.39.10.302.0006.2.059.01.312167</t>
  </si>
  <si>
    <t>60.70.3.3.50.39.10.302.0006.2.059.05.302023</t>
  </si>
  <si>
    <t>60.70.3.3.90.30.10.302.0006.2.035.01.302000</t>
  </si>
  <si>
    <t>60.70.3.3.90.30.10.302.0006.2.035.05.302023</t>
  </si>
  <si>
    <t>60.70.3.3.90.32.10.302.0006.2.035.01.302000</t>
  </si>
  <si>
    <t>60.70.3.3.90.32.10.302.0006.2.035.05.302023</t>
  </si>
  <si>
    <t>60.70.3.3.90.36.10.302.0006.2.035.01.302000</t>
  </si>
  <si>
    <t>60.70.3.3.90.37.10.302.0006.2.035.05.302023</t>
  </si>
  <si>
    <t>60.70.3.3.90.39.10.302.0006.2.035.01.302000</t>
  </si>
  <si>
    <t>60.70.3.3.90.39.10.302.0006.2.035.05.302023</t>
  </si>
  <si>
    <t>60.70.3.3.90.39.10.302.0006.2.035.92.302024</t>
  </si>
  <si>
    <t>60.70.3.3.90.39.10.302.0006.2.035.95.302023</t>
  </si>
  <si>
    <t>60.70.3.3.90.39.10.302.0006.2.035.95.800023</t>
  </si>
  <si>
    <t>60.70.3.3.90.40.10.302.0006.2.035.01.302000</t>
  </si>
  <si>
    <t>60.70.3.3.90.48.10.302.0006.2.035.05.302023</t>
  </si>
  <si>
    <t>60.70.4.4.90.52.10.302.0006.2.035.01.302000</t>
  </si>
  <si>
    <t>65.10.3.1.90.11.26.122.0009.2.002.01.400000</t>
  </si>
  <si>
    <t>Secretaria de Mobilidade Urbana</t>
  </si>
  <si>
    <t>TRANSPORTE</t>
  </si>
  <si>
    <t>65.10.3.3.90.30.26.122.0009.2.002.01.400000</t>
  </si>
  <si>
    <t>65.10.3.3.90.36.26.122.0009.2.002.01.400000</t>
  </si>
  <si>
    <t>65.10.3.3.90.39.26.122.0009.2.002.01.400000</t>
  </si>
  <si>
    <t>65.10.3.3.90.39.26.122.0009.2.002.03.700000</t>
  </si>
  <si>
    <t>65.10.3.3.90.39.26.451.0009.1.016.01.400000</t>
  </si>
  <si>
    <t>65.10.3.3.90.93.26.122.0009.2.002.91.400000</t>
  </si>
  <si>
    <t>65.10.4.4.90.51.26.122.0009.2.002.03.700000</t>
  </si>
  <si>
    <t>65.10.4.4.90.51.26.451.0009.1.012.01.400000</t>
  </si>
  <si>
    <t>65.10.4.4.90.51.26.451.0009.1.012.95.800216</t>
  </si>
  <si>
    <t>65.10.4.4.90.52.26.122.0009.2.002.01.400000</t>
  </si>
  <si>
    <t>65.20.3.3.20.41.26.122.0009.2.048.03.470000</t>
  </si>
  <si>
    <t>CONTRIBUIÇÕES</t>
  </si>
  <si>
    <t>65.20.3.3.90.30.26.122.0009.2.048.03.400075</t>
  </si>
  <si>
    <t>65.20.3.3.90.39.26.122.0009.2.048.03.400075</t>
  </si>
  <si>
    <t>65.20.3.3.90.39.26.122.0009.2.048.03.400115</t>
  </si>
  <si>
    <t>65.20.3.3.90.39.26.122.0009.2.048.93.400170</t>
  </si>
  <si>
    <t>65.20.3.3.90.93.26.122.0009.2.048.03.400075</t>
  </si>
  <si>
    <t>65.20.4.4.90.51.26.122.0009.2.048.03.400075</t>
  </si>
  <si>
    <t>65.20.4.4.90.51.26.122.0009.2.048.93.400075</t>
  </si>
  <si>
    <t>65.20.4.4.90.52.26.122.0009.2.048.03.400075</t>
  </si>
  <si>
    <t>70.10.3.1.90.11.04.122.0007.2.002.01.110000</t>
  </si>
  <si>
    <t>Secretaria de Inovação e Desenvolvimento Econômico</t>
  </si>
  <si>
    <t>70.10.3.3.50.85.19.573.0007.2.039.01.110000</t>
  </si>
  <si>
    <t>CIÊNCIA E TECNOLOGIA</t>
  </si>
  <si>
    <t>DIFUSÃO DO CONHECIMENTO CIENTÍFICO E TECNOLÓGICO</t>
  </si>
  <si>
    <t>70.10.3.3.50.85.19.573.0007.2.039.91.110000</t>
  </si>
  <si>
    <t>70.10.3.3.90.30.04.122.0007.2.002.01.110000</t>
  </si>
  <si>
    <t>70.10.3.3.90.36.04.122.0007.2.002.01.110000</t>
  </si>
  <si>
    <t>70.10.3.3.90.39.04.122.0007.2.002.01.110000</t>
  </si>
  <si>
    <t>70.10.3.3.90.39.11.333.0007.2.040.01.110000</t>
  </si>
  <si>
    <t>TRABALHO</t>
  </si>
  <si>
    <t>EMPREGABILIDADE</t>
  </si>
  <si>
    <t>70.10.3.3.90.39.11.333.0007.2.041.01.110000</t>
  </si>
  <si>
    <t>70.10.3.3.90.39.19.572.0007.2.058.01.110000</t>
  </si>
  <si>
    <t>DESENVOLVIMENTO TECNOLÓGICO E ENGENHARIA</t>
  </si>
  <si>
    <t>70.10.3.3.90.39.23.695.0007.2.042.01.110000</t>
  </si>
  <si>
    <t>COMÉRCIO E SERVIÇOS</t>
  </si>
  <si>
    <t>TURISMO</t>
  </si>
  <si>
    <t>70.10.4.4.90.52.23.695.0007.2.042.01.110000</t>
  </si>
  <si>
    <t>75.10.3.1.90.11.06.181.0010.2.002.01.110000</t>
  </si>
  <si>
    <t>Secretaria de Proteção ao Cidadão</t>
  </si>
  <si>
    <t>SEGURANÇA PÚBLICA</t>
  </si>
  <si>
    <t>POLICIAMENTO</t>
  </si>
  <si>
    <t>75.10.3.1.90.11.06.181.0010.2.065.06.100154</t>
  </si>
  <si>
    <t>75.10.3.1.90.96.06.181.0010.2.065.01.110000</t>
  </si>
  <si>
    <t>75.10.3.3.90.14.06.181.0010.2.002.01.110000</t>
  </si>
  <si>
    <t>75.10.3.3.90.30.06.181.0010.2.002.01.110000</t>
  </si>
  <si>
    <t>75.10.3.3.90.30.06.181.0010.2.065.01.110000</t>
  </si>
  <si>
    <t>75.10.3.3.90.30.06.181.0010.2.065.91.110000</t>
  </si>
  <si>
    <t>75.10.3.3.90.36.06.181.0010.2.002.01.110000</t>
  </si>
  <si>
    <t>75.10.3.3.90.36.06.181.0010.2.065.01.110000</t>
  </si>
  <si>
    <t>75.10.3.3.90.39.06.181.0010.2.002.01.110000</t>
  </si>
  <si>
    <t>75.10.3.3.90.39.06.181.0010.2.065.01.110000</t>
  </si>
  <si>
    <t>75.10.3.3.90.39.06.181.0010.2.065.91.110000</t>
  </si>
  <si>
    <t>80.10.3.1.90.07.09.271.0001.2.010.01.110000</t>
  </si>
  <si>
    <t>Encargos Gerais do Município</t>
  </si>
  <si>
    <t>PREVIDÊNCIA SOCIAL</t>
  </si>
  <si>
    <t>PREVIDÊNCIA BÁSICA</t>
  </si>
  <si>
    <t>CONTRIBUIÇÕES A ENTIDADES FECHADAS DE PREVIDÊNCIA</t>
  </si>
  <si>
    <t>80.10.3.1.90.11.04.122.0001.2.009.01.110000</t>
  </si>
  <si>
    <t>80.10.3.1.90.13.09.271.0001.2.010.01.110000</t>
  </si>
  <si>
    <t>80.10.3.1.90.16.04.122.0001.2.009.01.110000</t>
  </si>
  <si>
    <t>80.10.3.1.90.91.04.122.0001.0.001.01.110000</t>
  </si>
  <si>
    <t>SENTENÇAS JUDICIAIS</t>
  </si>
  <si>
    <t>80.10.3.1.90.94.04.122.0001.2.009.01.110000</t>
  </si>
  <si>
    <t>80.10.3.1.91.13.09.271.0001.2.010.01.110000</t>
  </si>
  <si>
    <t>80.10.3.2.90.21.28.843.0001.0.002.01.110000</t>
  </si>
  <si>
    <t>ENCARGOS ESPECIAIS</t>
  </si>
  <si>
    <t>SERVIÇO DA DÍVIDA INTERNA</t>
  </si>
  <si>
    <t>JUROS SOBRE A DÍVIDA POR CONTRATO</t>
  </si>
  <si>
    <t>80.10.3.2.90.21.28.843.0001.0.004.01.110000</t>
  </si>
  <si>
    <t>80.10.3.2.91.21.28.843.0001.0.004.01.110000</t>
  </si>
  <si>
    <t>JUROS SOBRE A DÍVIDA POR CONTRATO - INTRA-ORÇAMENTÁRIO</t>
  </si>
  <si>
    <t>80.10.3.3.90.08.04.122.0001.2.008.01.110000</t>
  </si>
  <si>
    <t>80.10.3.3.90.39.04.122.0001.2.007.01.110000</t>
  </si>
  <si>
    <t>80.10.3.3.90.39.04.122.0001.2.008.01.110000</t>
  </si>
  <si>
    <t>80.10.3.3.90.46.04.122.0001.2.008.01.110000</t>
  </si>
  <si>
    <t>80.10.3.3.90.47.04.122.0001.2.009.01.110000</t>
  </si>
  <si>
    <t>OBRIGAÇÕES TRIBUTÁRIAS E CONTRIBUTIVAS</t>
  </si>
  <si>
    <t>80.10.3.3.90.91.04.122.0001.0.001.01.110000</t>
  </si>
  <si>
    <t>80.10.3.3.90.93.04.122.0001.0.003.01.110000</t>
  </si>
  <si>
    <t>80.10.3.3.90.93.04.122.0001.2.007.01.110000</t>
  </si>
  <si>
    <t>80.10.3.3.91.97.09.271.0001.2.010.91.1100000</t>
  </si>
  <si>
    <t>APORTE PARA COBERTURA DO DÉFICIT ATUARIAL DO RPPS</t>
  </si>
  <si>
    <t>80.10.4.6.90.71.28.843.0001.0.002.01.110000</t>
  </si>
  <si>
    <t>PRINCIPAL DA DÍVIDA CONTRATUAL RESGATADA</t>
  </si>
  <si>
    <t>80.10.4.6.90.71.28.843.0001.0.004.01.110000</t>
  </si>
  <si>
    <t>80.10.4.6.91.71.28.843.0001.0.004.01.110000</t>
  </si>
  <si>
    <t>PRINCIPAL DA DÍVIDA CONTRATUAL RESGATADA - INTRA-ORÇAMENTÁRIO</t>
  </si>
  <si>
    <t>Rótulos de Linha</t>
  </si>
  <si>
    <t>Total Geral</t>
  </si>
  <si>
    <t>Soma de Empenhado (R$)</t>
  </si>
  <si>
    <t>Soma de Liquidado  (R$)</t>
  </si>
  <si>
    <t>Soma de Pago  (R$)</t>
  </si>
  <si>
    <t>(Tudo)</t>
  </si>
  <si>
    <t>FORMULÁRIO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</si>
</sst>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 Light"/>
      <family val="2"/>
      <scheme val="maj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0" fontId="0" fillId="33" borderId="10" xfId="0" applyFill="1" applyBorder="1" applyAlignment="1">
      <alignment horizontal="center" vertical="center"/>
    </xf>
    <xf numFmtId="0" fontId="18" fillId="0" borderId="0" xfId="0" applyFont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[despesa_funcao (1).xlsm]Gráfico Dinâmico!Tabela dinâmica1</c:name>
    <c:fmtId val="0"/>
  </c:pivotSource>
  <c:chart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Dinâmico'!$B$3</c:f>
              <c:strCache>
                <c:ptCount val="1"/>
                <c:pt idx="0">
                  <c:v>Soma de Empenhado (R$)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'Gráfico Dinâmico'!$A$4:$A$21</c:f>
              <c:strCache>
                <c:ptCount val="17"/>
                <c:pt idx="0">
                  <c:v>ADMINISTRAÇÃO</c:v>
                </c:pt>
                <c:pt idx="1">
                  <c:v>ASSISTÊNCIA SOCIAL</c:v>
                </c:pt>
                <c:pt idx="2">
                  <c:v>CIÊNCIA E TECNOLOGIA</c:v>
                </c:pt>
                <c:pt idx="3">
                  <c:v>COMÉRCIO E SERVIÇOS</c:v>
                </c:pt>
                <c:pt idx="4">
                  <c:v>CULTURA</c:v>
                </c:pt>
                <c:pt idx="5">
                  <c:v>DESPORTO E LAZER</c:v>
                </c:pt>
                <c:pt idx="6">
                  <c:v>DIREITOS DA CIDADANIA</c:v>
                </c:pt>
                <c:pt idx="7">
                  <c:v>EDUCAÇÃO</c:v>
                </c:pt>
                <c:pt idx="8">
                  <c:v>ENCARGOS ESPECIAIS</c:v>
                </c:pt>
                <c:pt idx="9">
                  <c:v>GESTÃO AMBIENTAL</c:v>
                </c:pt>
                <c:pt idx="10">
                  <c:v>PREVIDÊNCIA SOCIAL</c:v>
                </c:pt>
                <c:pt idx="11">
                  <c:v>SANEAMENTO</c:v>
                </c:pt>
                <c:pt idx="12">
                  <c:v>SAÚDE</c:v>
                </c:pt>
                <c:pt idx="13">
                  <c:v>SEGURANÇA PÚBLICA</c:v>
                </c:pt>
                <c:pt idx="14">
                  <c:v>TRABALHO</c:v>
                </c:pt>
                <c:pt idx="15">
                  <c:v>TRANSPORTE</c:v>
                </c:pt>
                <c:pt idx="16">
                  <c:v>URBANISMO</c:v>
                </c:pt>
              </c:strCache>
            </c:strRef>
          </c:cat>
          <c:val>
            <c:numRef>
              <c:f>'Gráfico Dinâmico'!$B$4:$B$21</c:f>
              <c:numCache>
                <c:formatCode>"R$"\ #,##0</c:formatCode>
                <c:ptCount val="17"/>
                <c:pt idx="0">
                  <c:v>18409559.099999998</c:v>
                </c:pt>
                <c:pt idx="1">
                  <c:v>5298055.8900000006</c:v>
                </c:pt>
                <c:pt idx="2">
                  <c:v>3100187.66</c:v>
                </c:pt>
                <c:pt idx="3">
                  <c:v>3915.6</c:v>
                </c:pt>
                <c:pt idx="4">
                  <c:v>3004.09</c:v>
                </c:pt>
                <c:pt idx="5">
                  <c:v>2172360.08</c:v>
                </c:pt>
                <c:pt idx="6">
                  <c:v>266104.25</c:v>
                </c:pt>
                <c:pt idx="7">
                  <c:v>56334699.949999981</c:v>
                </c:pt>
                <c:pt idx="8">
                  <c:v>-2948.25</c:v>
                </c:pt>
                <c:pt idx="9">
                  <c:v>63860.639999999992</c:v>
                </c:pt>
                <c:pt idx="10">
                  <c:v>8340291.4000000004</c:v>
                </c:pt>
                <c:pt idx="11">
                  <c:v>0</c:v>
                </c:pt>
                <c:pt idx="12">
                  <c:v>31121012.999999996</c:v>
                </c:pt>
                <c:pt idx="13">
                  <c:v>3431388.69</c:v>
                </c:pt>
                <c:pt idx="14">
                  <c:v>48706</c:v>
                </c:pt>
                <c:pt idx="15">
                  <c:v>22505354.600000001</c:v>
                </c:pt>
                <c:pt idx="16">
                  <c:v>5973301.9400000023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C-456B-89F1-A61434B3C4EA}"/>
            </c:ext>
          </c:extLst>
        </c:ser>
        <c:ser>
          <c:idx val="1"/>
          <c:order val="1"/>
          <c:tx>
            <c:strRef>
              <c:f>'Gráfico Dinâmico'!$C$3</c:f>
              <c:strCache>
                <c:ptCount val="1"/>
                <c:pt idx="0">
                  <c:v>Soma de Liquidado  (R$)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'Gráfico Dinâmico'!$A$4:$A$21</c:f>
              <c:strCache>
                <c:ptCount val="17"/>
                <c:pt idx="0">
                  <c:v>ADMINISTRAÇÃO</c:v>
                </c:pt>
                <c:pt idx="1">
                  <c:v>ASSISTÊNCIA SOCIAL</c:v>
                </c:pt>
                <c:pt idx="2">
                  <c:v>CIÊNCIA E TECNOLOGIA</c:v>
                </c:pt>
                <c:pt idx="3">
                  <c:v>COMÉRCIO E SERVIÇOS</c:v>
                </c:pt>
                <c:pt idx="4">
                  <c:v>CULTURA</c:v>
                </c:pt>
                <c:pt idx="5">
                  <c:v>DESPORTO E LAZER</c:v>
                </c:pt>
                <c:pt idx="6">
                  <c:v>DIREITOS DA CIDADANIA</c:v>
                </c:pt>
                <c:pt idx="7">
                  <c:v>EDUCAÇÃO</c:v>
                </c:pt>
                <c:pt idx="8">
                  <c:v>ENCARGOS ESPECIAIS</c:v>
                </c:pt>
                <c:pt idx="9">
                  <c:v>GESTÃO AMBIENTAL</c:v>
                </c:pt>
                <c:pt idx="10">
                  <c:v>PREVIDÊNCIA SOCIAL</c:v>
                </c:pt>
                <c:pt idx="11">
                  <c:v>SANEAMENTO</c:v>
                </c:pt>
                <c:pt idx="12">
                  <c:v>SAÚDE</c:v>
                </c:pt>
                <c:pt idx="13">
                  <c:v>SEGURANÇA PÚBLICA</c:v>
                </c:pt>
                <c:pt idx="14">
                  <c:v>TRABALHO</c:v>
                </c:pt>
                <c:pt idx="15">
                  <c:v>TRANSPORTE</c:v>
                </c:pt>
                <c:pt idx="16">
                  <c:v>URBANISMO</c:v>
                </c:pt>
              </c:strCache>
            </c:strRef>
          </c:cat>
          <c:val>
            <c:numRef>
              <c:f>'Gráfico Dinâmico'!$C$4:$C$21</c:f>
              <c:numCache>
                <c:formatCode>"R$"\ #,##0</c:formatCode>
                <c:ptCount val="17"/>
                <c:pt idx="0">
                  <c:v>22715017.039999992</c:v>
                </c:pt>
                <c:pt idx="1">
                  <c:v>8053224.3400000008</c:v>
                </c:pt>
                <c:pt idx="2">
                  <c:v>3934445.48</c:v>
                </c:pt>
                <c:pt idx="3">
                  <c:v>40836.239999999998</c:v>
                </c:pt>
                <c:pt idx="4">
                  <c:v>1820</c:v>
                </c:pt>
                <c:pt idx="5">
                  <c:v>7478457.1600000001</c:v>
                </c:pt>
                <c:pt idx="6">
                  <c:v>166743.21</c:v>
                </c:pt>
                <c:pt idx="7">
                  <c:v>91877379.590000063</c:v>
                </c:pt>
                <c:pt idx="8">
                  <c:v>4303127.17</c:v>
                </c:pt>
                <c:pt idx="9">
                  <c:v>353085.77</c:v>
                </c:pt>
                <c:pt idx="10">
                  <c:v>8340291.4000000004</c:v>
                </c:pt>
                <c:pt idx="11">
                  <c:v>9012274.6199999992</c:v>
                </c:pt>
                <c:pt idx="12">
                  <c:v>83935135.100000009</c:v>
                </c:pt>
                <c:pt idx="13">
                  <c:v>4453309.46</c:v>
                </c:pt>
                <c:pt idx="14">
                  <c:v>80102.850000000006</c:v>
                </c:pt>
                <c:pt idx="15">
                  <c:v>14897988.949999999</c:v>
                </c:pt>
                <c:pt idx="16">
                  <c:v>22339510.790000003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C-456B-89F1-A61434B3C4EA}"/>
            </c:ext>
          </c:extLst>
        </c:ser>
        <c:ser>
          <c:idx val="2"/>
          <c:order val="2"/>
          <c:tx>
            <c:strRef>
              <c:f>'Gráfico Dinâmico'!$D$3</c:f>
              <c:strCache>
                <c:ptCount val="1"/>
                <c:pt idx="0">
                  <c:v>Soma de Pago  (R$)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f>'Gráfico Dinâmico'!$A$4:$A$21</c:f>
              <c:strCache>
                <c:ptCount val="17"/>
                <c:pt idx="0">
                  <c:v>ADMINISTRAÇÃO</c:v>
                </c:pt>
                <c:pt idx="1">
                  <c:v>ASSISTÊNCIA SOCIAL</c:v>
                </c:pt>
                <c:pt idx="2">
                  <c:v>CIÊNCIA E TECNOLOGIA</c:v>
                </c:pt>
                <c:pt idx="3">
                  <c:v>COMÉRCIO E SERVIÇOS</c:v>
                </c:pt>
                <c:pt idx="4">
                  <c:v>CULTURA</c:v>
                </c:pt>
                <c:pt idx="5">
                  <c:v>DESPORTO E LAZER</c:v>
                </c:pt>
                <c:pt idx="6">
                  <c:v>DIREITOS DA CIDADANIA</c:v>
                </c:pt>
                <c:pt idx="7">
                  <c:v>EDUCAÇÃO</c:v>
                </c:pt>
                <c:pt idx="8">
                  <c:v>ENCARGOS ESPECIAIS</c:v>
                </c:pt>
                <c:pt idx="9">
                  <c:v>GESTÃO AMBIENTAL</c:v>
                </c:pt>
                <c:pt idx="10">
                  <c:v>PREVIDÊNCIA SOCIAL</c:v>
                </c:pt>
                <c:pt idx="11">
                  <c:v>SANEAMENTO</c:v>
                </c:pt>
                <c:pt idx="12">
                  <c:v>SAÚDE</c:v>
                </c:pt>
                <c:pt idx="13">
                  <c:v>SEGURANÇA PÚBLICA</c:v>
                </c:pt>
                <c:pt idx="14">
                  <c:v>TRABALHO</c:v>
                </c:pt>
                <c:pt idx="15">
                  <c:v>TRANSPORTE</c:v>
                </c:pt>
                <c:pt idx="16">
                  <c:v>URBANISMO</c:v>
                </c:pt>
              </c:strCache>
            </c:strRef>
          </c:cat>
          <c:val>
            <c:numRef>
              <c:f>'Gráfico Dinâmico'!$D$4:$D$21</c:f>
              <c:numCache>
                <c:formatCode>"R$"\ #,##0</c:formatCode>
                <c:ptCount val="17"/>
                <c:pt idx="0">
                  <c:v>22517181.130000003</c:v>
                </c:pt>
                <c:pt idx="1">
                  <c:v>8160680.9500000011</c:v>
                </c:pt>
                <c:pt idx="2">
                  <c:v>3942332.64</c:v>
                </c:pt>
                <c:pt idx="3">
                  <c:v>37327.479999999996</c:v>
                </c:pt>
                <c:pt idx="4">
                  <c:v>1963.3200000000002</c:v>
                </c:pt>
                <c:pt idx="5">
                  <c:v>6970564.1799999997</c:v>
                </c:pt>
                <c:pt idx="6">
                  <c:v>183073.91</c:v>
                </c:pt>
                <c:pt idx="7">
                  <c:v>98337473.970000044</c:v>
                </c:pt>
                <c:pt idx="8">
                  <c:v>4303037.62</c:v>
                </c:pt>
                <c:pt idx="9">
                  <c:v>132686.82999999999</c:v>
                </c:pt>
                <c:pt idx="10">
                  <c:v>2687870.73</c:v>
                </c:pt>
                <c:pt idx="11">
                  <c:v>5559364.4699999997</c:v>
                </c:pt>
                <c:pt idx="12">
                  <c:v>85493554.079999968</c:v>
                </c:pt>
                <c:pt idx="13">
                  <c:v>4087240.11</c:v>
                </c:pt>
                <c:pt idx="14">
                  <c:v>68382.509999999995</c:v>
                </c:pt>
                <c:pt idx="15">
                  <c:v>18755248.539999999</c:v>
                </c:pt>
                <c:pt idx="16">
                  <c:v>20568813.919999998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C-456B-89F1-A61434B3C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71570336"/>
        <c:axId val="571559536"/>
      </c:barChart>
      <c:catAx>
        <c:axId val="57157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559536"/>
        <c:crosses val="autoZero"/>
        <c:auto val="1"/>
        <c:lblAlgn val="ctr"/>
        <c:lblOffset val="100"/>
        <c:noMultiLvlLbl val="0"/>
      </c:catAx>
      <c:valAx>
        <c:axId val="571559536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57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fmlaLink="$A$1" fmlaRange="'Despesas por função (matriz)'!$E$2:$E$407" noThreeD="1" sel="403" val="39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599167</xdr:colOff>
      <xdr:row>1</xdr:row>
      <xdr:rowOff>12700</xdr:rowOff>
    </xdr:from>
    <xdr:to>
      <xdr:col>16</xdr:col>
      <xdr:colOff>56697</xdr:colOff>
      <xdr:row>21</xdr:row>
      <xdr:rowOff>170089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8284E39-E103-5ECE-03ED-900DA634D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4</xdr:row>
          <xdr:rowOff>0</xdr:rowOff>
        </xdr:from>
        <xdr:to>
          <xdr:col>3</xdr:col>
          <xdr:colOff>9525</xdr:colOff>
          <xdr:row>5</xdr:row>
          <xdr:rowOff>152400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ias" refreshedDate="45175.619557638885" createdVersion="8" refreshedVersion="8" minRefreshableVersion="3" recordCount="406" xr:uid="{00000000-000A-0000-FFFF-FFFF04000000}">
  <cacheSource type="worksheet">
    <worksheetSource ref="A1:K407" sheet="Despesas por função (matriz)"/>
  </cacheSource>
  <cacheFields count="11">
    <cacheField name="Ano" numFmtId="0">
      <sharedItems containsSemiMixedTypes="0" containsString="0" containsNumber="1" containsInteger="1" minValue="2023" maxValue="2023"/>
    </cacheField>
    <cacheField name="Mês" numFmtId="0">
      <sharedItems containsSemiMixedTypes="0" containsString="0" containsNumber="1" containsInteger="1" minValue="7" maxValue="7"/>
    </cacheField>
    <cacheField name="Classificação orçamentária" numFmtId="0">
      <sharedItems/>
    </cacheField>
    <cacheField name="Secretaria" numFmtId="0">
      <sharedItems count="15">
        <s v="Gabinete do Prefeito"/>
        <s v="Secretaria de Governança"/>
        <s v="Secretaria de Apoio Jurídico"/>
        <s v="Secretaria de Gestão Administrativa e Finanças"/>
        <s v="Secretaria de Urbanismo e Sustentabilidade"/>
        <s v="Secretaria de Gestão Habitacional e Obras"/>
        <s v="Secretaria de Educação e Cidadania"/>
        <s v="Secretaria de Esporte e Qualidade de Vida"/>
        <s v="Secretaria de Apoio Social ao Cidadão"/>
        <s v="Secretaria de Manutenção da Cidade"/>
        <s v="Secretaria de Saúde"/>
        <s v="Secretaria de Mobilidade Urbana"/>
        <s v="Secretaria de Inovação e Desenvolvimento Econômico"/>
        <s v="Secretaria de Proteção ao Cidadão"/>
        <s v="Encargos Gerais do Município"/>
      </sharedItems>
    </cacheField>
    <cacheField name="Função" numFmtId="0">
      <sharedItems count="17">
        <s v="ADMINISTRAÇÃO"/>
        <s v="DESPORTO E LAZER"/>
        <s v="DIREITOS DA CIDADANIA"/>
        <s v="URBANISMO"/>
        <s v="GESTÃO AMBIENTAL"/>
        <s v="EDUCAÇÃO"/>
        <s v="CULTURA"/>
        <s v="ASSISTÊNCIA SOCIAL"/>
        <s v="SANEAMENTO"/>
        <s v="SAÚDE"/>
        <s v="TRANSPORTE"/>
        <s v="CIÊNCIA E TECNOLOGIA"/>
        <s v="TRABALHO"/>
        <s v="COMÉRCIO E SERVIÇOS"/>
        <s v="SEGURANÇA PÚBLICA"/>
        <s v="PREVIDÊNCIA SOCIAL"/>
        <s v="ENCARGOS ESPECIAIS"/>
      </sharedItems>
    </cacheField>
    <cacheField name="Subfunção" numFmtId="0">
      <sharedItems count="29">
        <s v="ADMINISTRAÇÃO GERAL"/>
        <s v="DESPORTO DE RENDIMENTO"/>
        <s v="DIREITOS INDIVIDUAIS, COLETIVOS E DIFUSOS"/>
        <s v="ORDENAMENTO TERRITORIAL"/>
        <s v="PRESERVAÇÃO E CONSERVAÇÃO AMBIENTAL"/>
        <s v="INFRA-ESTRUTURA URBANA"/>
        <s v="ENSINO FUNDAMENTAL"/>
        <s v="EDUCAÇÃO INFANTIL"/>
        <s v="EDUCAÇÃO ESPECIAL"/>
        <s v="ALIMENTAÇÃO E NUTRIÇÃO"/>
        <s v="EDUCAÇÃO DE JOVENS E ADULTOS"/>
        <s v="DIFUSÃO CULTURAL"/>
        <s v="DESPORTO COMUNITÁRIO"/>
        <s v="ASSISTÊNCIA COMUNITÁRIA"/>
        <s v="ASSISTÊNCIA A CRIANÇA E AO ADOLESCENTE"/>
        <s v="SERVIÇOS URBANOS"/>
        <s v="SANEAMENTO BÁSICO URBANO"/>
        <s v="ATENÇÃO BÁSICA"/>
        <s v="ASSISTÊNCIA HOSPITALAR E AMBULATORIAL"/>
        <s v="VIGILÂNCIA EPIDEMIOLÓGICA"/>
        <s v="VIGILÂNCIA SANITÁRIA"/>
        <s v="SUPORTE PROFILÁTICO E TERAPÊUTICO"/>
        <s v="DIFUSÃO DO CONHECIMENTO CIENTÍFICO E TECNOLÓGICO"/>
        <s v="EMPREGABILIDADE"/>
        <s v="DESENVOLVIMENTO TECNOLÓGICO E ENGENHARIA"/>
        <s v="TURISMO"/>
        <s v="POLICIAMENTO"/>
        <s v="PREVIDÊNCIA BÁSICA"/>
        <s v="SERVIÇO DA DÍVIDA INTERNA"/>
      </sharedItems>
    </cacheField>
    <cacheField name="Natureza da despesa" numFmtId="0">
      <sharedItems/>
    </cacheField>
    <cacheField name="Fonte de recurso" numFmtId="0">
      <sharedItems/>
    </cacheField>
    <cacheField name="Empenhado (R$)" numFmtId="0">
      <sharedItems containsSemiMixedTypes="0" containsString="0" containsNumber="1" minValue="-3721434.08" maxValue="13599737.07"/>
    </cacheField>
    <cacheField name="Liquidado  (R$)" numFmtId="0">
      <sharedItems containsSemiMixedTypes="0" containsString="0" containsNumber="1" minValue="-20" maxValue="14490190.470000001"/>
    </cacheField>
    <cacheField name="Pago  (R$)" numFmtId="0">
      <sharedItems containsSemiMixedTypes="0" containsString="0" containsNumber="1" minValue="-20" maxValue="14490190.47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6">
  <r>
    <n v="2023"/>
    <n v="7"/>
    <s v="05.10.3.1.90.11.04.122.0001.2.002.01.110000"/>
    <x v="0"/>
    <x v="0"/>
    <x v="0"/>
    <s v="VENCIMENTOS E VANTAGENS FIXAS -  PESSOAL CIVIL"/>
    <s v="TESOURO"/>
    <n v="87131.6"/>
    <n v="87131.6"/>
    <n v="87131.6"/>
  </r>
  <r>
    <n v="2023"/>
    <n v="7"/>
    <s v="10.10.3.1.90.11.04.122.0001.2.002.01.110000"/>
    <x v="1"/>
    <x v="0"/>
    <x v="0"/>
    <s v="VENCIMENTOS E VANTAGENS FIXAS -  PESSOAL CIVIL"/>
    <s v="TESOURO"/>
    <n v="769991.93"/>
    <n v="769991.93"/>
    <n v="777851.31"/>
  </r>
  <r>
    <n v="2023"/>
    <n v="7"/>
    <s v="10.10.3.3.50.85.04.122.0001.2.050.01.110000"/>
    <x v="1"/>
    <x v="0"/>
    <x v="0"/>
    <s v="CONTRATO DE GESTÃO-"/>
    <s v="TESOURO"/>
    <n v="0"/>
    <n v="216005.59"/>
    <n v="216005.59"/>
  </r>
  <r>
    <n v="2023"/>
    <n v="7"/>
    <s v="10.10.3.3.90.14.04.122.0001.2.002.01.110000"/>
    <x v="1"/>
    <x v="0"/>
    <x v="0"/>
    <s v="DIÁRIAS - PESSOAL CIVIL"/>
    <s v="TESOURO"/>
    <n v="-20"/>
    <n v="-20"/>
    <n v="-20"/>
  </r>
  <r>
    <n v="2023"/>
    <n v="7"/>
    <s v="10.10.3.3.90.30.04.122.0001.2.002.01.110000"/>
    <x v="1"/>
    <x v="0"/>
    <x v="0"/>
    <s v="MATERIAL DE CONSUMO"/>
    <s v="TESOURO"/>
    <n v="11492.55"/>
    <n v="3356.74"/>
    <n v="11478.6"/>
  </r>
  <r>
    <n v="2023"/>
    <n v="7"/>
    <s v="10.10.3.3.90.30.04.122.0001.2.002.91.110000"/>
    <x v="1"/>
    <x v="0"/>
    <x v="0"/>
    <s v="MATERIAL DE CONSUMO"/>
    <s v="TESOURO - EXERCÍCIO ANTERIOR"/>
    <n v="7157.28"/>
    <n v="29455.42"/>
    <n v="32733.41"/>
  </r>
  <r>
    <n v="2023"/>
    <n v="7"/>
    <s v="10.10.3.3.90.36.04.122.0001.2.002.01.110000"/>
    <x v="1"/>
    <x v="0"/>
    <x v="0"/>
    <s v="OUTROS SERVIÇOS DE TERCEIROS - PESSOA FÍSICA"/>
    <s v="TESOURO"/>
    <n v="20705.96"/>
    <n v="20705.96"/>
    <n v="20705.96"/>
  </r>
  <r>
    <n v="2023"/>
    <n v="7"/>
    <s v="10.10.3.3.90.36.04.122.0001.2.002.91.110000"/>
    <x v="1"/>
    <x v="0"/>
    <x v="0"/>
    <s v="OUTROS SERVIÇOS DE TERCEIROS - PESSOA FÍSICA"/>
    <s v="TESOURO - EXERCÍCIO ANTERIOR"/>
    <n v="209.08"/>
    <n v="209.08"/>
    <n v="209.08"/>
  </r>
  <r>
    <n v="2023"/>
    <n v="7"/>
    <s v="10.10.3.3.90.39.04.122.0001.2.002.01.110000"/>
    <x v="1"/>
    <x v="0"/>
    <x v="0"/>
    <s v="OUTROS SERVIÇOS DE TERCEIROS -  PESSOA JURÍDICA"/>
    <s v="TESOURO"/>
    <n v="123617.57"/>
    <n v="152633.04"/>
    <n v="169439.1"/>
  </r>
  <r>
    <n v="2023"/>
    <n v="7"/>
    <s v="10.10.3.3.90.39.04.122.0001.2.002.91.110000"/>
    <x v="1"/>
    <x v="0"/>
    <x v="0"/>
    <s v="OUTROS SERVIÇOS DE TERCEIROS -  PESSOA JURÍDICA"/>
    <s v="TESOURO - EXERCÍCIO ANTERIOR"/>
    <n v="2026739.52"/>
    <n v="339680.57"/>
    <n v="232342.23"/>
  </r>
  <r>
    <n v="2023"/>
    <n v="7"/>
    <s v="10.10.3.3.90.39.04.122.0001.2.003.01.110000"/>
    <x v="1"/>
    <x v="0"/>
    <x v="0"/>
    <s v="OUTROS SERVIÇOS DE TERCEIROS -  PESSOA JURÍDICA"/>
    <s v="TESOURO"/>
    <n v="0"/>
    <n v="880568.17"/>
    <n v="874845.17"/>
  </r>
  <r>
    <n v="2023"/>
    <n v="7"/>
    <s v="10.10.3.3.90.39.04.122.0001.2.003.91.110000"/>
    <x v="1"/>
    <x v="0"/>
    <x v="0"/>
    <s v="OUTROS SERVIÇOS DE TERCEIROS -  PESSOA JURÍDICA"/>
    <s v="TESOURO - EXERCÍCIO ANTERIOR"/>
    <n v="4900000"/>
    <n v="0"/>
    <n v="0"/>
  </r>
  <r>
    <n v="2023"/>
    <n v="7"/>
    <s v="10.10.3.3.90.39.04.122.0001.2.068.01.110000"/>
    <x v="1"/>
    <x v="0"/>
    <x v="0"/>
    <s v="OUTROS SERVIÇOS DE TERCEIROS -  PESSOA JURÍDICA"/>
    <s v="TESOURO"/>
    <n v="0"/>
    <n v="657948.05000000005"/>
    <n v="657948.05000000005"/>
  </r>
  <r>
    <n v="2023"/>
    <n v="7"/>
    <s v="10.10.3.3.90.39.27.811.0001.2.004.91.110000"/>
    <x v="1"/>
    <x v="1"/>
    <x v="1"/>
    <s v="OUTROS SERVIÇOS DE TERCEIROS -  PESSOA JURÍDICA"/>
    <s v="TESOURO - EXERCÍCIO ANTERIOR"/>
    <n v="0"/>
    <n v="0"/>
    <n v="137936.79999999999"/>
  </r>
  <r>
    <n v="2023"/>
    <n v="7"/>
    <s v="10.10.3.3.90.48.27.811.0001.2.004.91.110000"/>
    <x v="1"/>
    <x v="1"/>
    <x v="1"/>
    <s v="OUTROS AUXÍLIOS FINANCEIROS A PESSOA FÍSICA"/>
    <s v="TESOURO - EXERCÍCIO ANTERIOR"/>
    <n v="0"/>
    <n v="0"/>
    <n v="546967"/>
  </r>
  <r>
    <n v="2023"/>
    <n v="7"/>
    <s v="10.10.4.4.90.52.04.122.0001.2.002.01.110000"/>
    <x v="1"/>
    <x v="0"/>
    <x v="0"/>
    <s v="EQUIPAMENTOS E MATERIAL PERMANENTE"/>
    <s v="TESOURO"/>
    <n v="1580"/>
    <n v="0"/>
    <n v="568.54"/>
  </r>
  <r>
    <n v="2023"/>
    <n v="7"/>
    <s v="10.10.4.4.90.52.04.122.0001.2.002.91.110000"/>
    <x v="1"/>
    <x v="0"/>
    <x v="0"/>
    <s v="EQUIPAMENTOS E MATERIAL PERMANENTE"/>
    <s v="TESOURO - EXERCÍCIO ANTERIOR"/>
    <n v="2150"/>
    <n v="22305"/>
    <n v="0"/>
  </r>
  <r>
    <n v="2023"/>
    <n v="7"/>
    <s v="15.10.3.1.90.11.04.122.0001.2.002.01.110000"/>
    <x v="2"/>
    <x v="0"/>
    <x v="0"/>
    <s v="VENCIMENTOS E VANTAGENS FIXAS -  PESSOAL CIVIL"/>
    <s v="TESOURO"/>
    <n v="865506.74"/>
    <n v="865506.74"/>
    <n v="865506.74"/>
  </r>
  <r>
    <n v="2023"/>
    <n v="7"/>
    <s v="15.10.3.3.90.30.04.122.0001.2.002.01.110000"/>
    <x v="2"/>
    <x v="0"/>
    <x v="0"/>
    <s v="MATERIAL DE CONSUMO"/>
    <s v="TESOURO"/>
    <n v="810"/>
    <n v="810"/>
    <n v="512.44000000000005"/>
  </r>
  <r>
    <n v="2023"/>
    <n v="7"/>
    <s v="15.10.3.3.90.30.04.122.0001.2.002.93.700000"/>
    <x v="2"/>
    <x v="0"/>
    <x v="0"/>
    <s v="MATERIAL DE CONSUMO"/>
    <s v="RECURSOS PROPRIOS DE FUNDOS ESPECIAIS DE DESPESA - VINCULADOS - EXERCÍCIO ANTERIOR"/>
    <n v="3299.52"/>
    <n v="15384"/>
    <n v="635.98"/>
  </r>
  <r>
    <n v="2023"/>
    <n v="7"/>
    <s v="15.10.3.3.90.30.14.422.0001.2.006.02.100047"/>
    <x v="2"/>
    <x v="2"/>
    <x v="2"/>
    <s v="MATERIAL DE CONSUMO"/>
    <s v="TRANSFERENCIAS E CONVENIOS ESTADUAIS - VINCULADOS"/>
    <n v="0"/>
    <n v="116"/>
    <n v="0"/>
  </r>
  <r>
    <n v="2023"/>
    <n v="7"/>
    <s v="15.10.3.3.90.36.04.122.0001.2.002.01.110000"/>
    <x v="2"/>
    <x v="0"/>
    <x v="0"/>
    <s v="OUTROS SERVIÇOS DE TERCEIROS - PESSOA FÍSICA"/>
    <s v="TESOURO"/>
    <n v="58691.19"/>
    <n v="58691.19"/>
    <n v="59610.26"/>
  </r>
  <r>
    <n v="2023"/>
    <n v="7"/>
    <s v="15.10.3.3.90.36.14.422.0001.2.006.03.100133"/>
    <x v="2"/>
    <x v="2"/>
    <x v="2"/>
    <s v="OUTROS SERVIÇOS DE TERCEIROS - PESSOA FÍSICA"/>
    <s v="RECURSOS PROPRIOS DE FUNDOS ESPECIAIS DE DESPESA - VINCULADOS"/>
    <n v="9870.49"/>
    <n v="9870.49"/>
    <n v="9870.49"/>
  </r>
  <r>
    <n v="2023"/>
    <n v="7"/>
    <s v="15.10.3.3.90.39.04.122.0001.2.002.01.110000"/>
    <x v="2"/>
    <x v="0"/>
    <x v="0"/>
    <s v="OUTROS SERVIÇOS DE TERCEIROS -  PESSOA JURÍDICA"/>
    <s v="TESOURO"/>
    <n v="37777.68"/>
    <n v="36687.26"/>
    <n v="36745.93"/>
  </r>
  <r>
    <n v="2023"/>
    <n v="7"/>
    <s v="15.10.3.3.90.39.04.122.0001.2.002.03.700000"/>
    <x v="2"/>
    <x v="0"/>
    <x v="0"/>
    <s v="OUTROS SERVIÇOS DE TERCEIROS -  PESSOA JURÍDICA"/>
    <s v="RECURSOS PROPRIOS DE FUNDOS ESPECIAIS DE DESPESA - VINCULADOS"/>
    <n v="212558.15"/>
    <n v="0"/>
    <n v="0"/>
  </r>
  <r>
    <n v="2023"/>
    <n v="7"/>
    <s v="15.10.3.3.90.39.04.122.0001.2.002.93.700000"/>
    <x v="2"/>
    <x v="0"/>
    <x v="0"/>
    <s v="OUTROS SERVIÇOS DE TERCEIROS -  PESSOA JURÍDICA"/>
    <s v="RECURSOS PROPRIOS DE FUNDOS ESPECIAIS DE DESPESA - VINCULADOS - EXERCÍCIO ANTERIOR"/>
    <n v="39927.839999999997"/>
    <n v="0"/>
    <n v="0"/>
  </r>
  <r>
    <n v="2023"/>
    <n v="7"/>
    <s v="15.10.3.3.90.39.14.422.0001.2.006.02.100047"/>
    <x v="2"/>
    <x v="2"/>
    <x v="2"/>
    <s v="OUTROS SERVIÇOS DE TERCEIROS -  PESSOA JURÍDICA"/>
    <s v="TRANSFERENCIAS E CONVENIOS ESTADUAIS - VINCULADOS"/>
    <n v="255000"/>
    <n v="98200.7"/>
    <n v="114800.7"/>
  </r>
  <r>
    <n v="2023"/>
    <n v="7"/>
    <s v="15.10.3.3.90.39.14.422.0001.2.006.03.100133"/>
    <x v="2"/>
    <x v="2"/>
    <x v="2"/>
    <s v="OUTROS SERVIÇOS DE TERCEIROS -  PESSOA JURÍDICA"/>
    <s v="RECURSOS PROPRIOS DE FUNDOS ESPECIAIS DE DESPESA - VINCULADOS"/>
    <n v="780.46"/>
    <n v="4676.6000000000004"/>
    <n v="4676.6000000000004"/>
  </r>
  <r>
    <n v="2023"/>
    <n v="7"/>
    <s v="15.10.3.3.90.40.14.422.0001.2.006.01.110000"/>
    <x v="2"/>
    <x v="2"/>
    <x v="2"/>
    <s v="SERVIÇOS DE TECNOLOGIA DA INFORMAÇÃO E COMUNICAÇÃO - PJ"/>
    <s v="TESOURO"/>
    <n v="0"/>
    <n v="53726.12"/>
    <n v="53726.12"/>
  </r>
  <r>
    <n v="2023"/>
    <n v="7"/>
    <s v="15.10.4.4.90.52.04.122.0001.2.002.93.700000"/>
    <x v="2"/>
    <x v="0"/>
    <x v="0"/>
    <s v="EQUIPAMENTOS E MATERIAL PERMANENTE"/>
    <s v="RECURSOS PROPRIOS DE FUNDOS ESPECIAIS DE DESPESA - VINCULADOS - EXERCÍCIO ANTERIOR"/>
    <n v="0"/>
    <n v="2060"/>
    <n v="2060"/>
  </r>
  <r>
    <n v="2023"/>
    <n v="7"/>
    <s v="15.10.4.4.90.52.14.422.0001.2.006.02.100047"/>
    <x v="2"/>
    <x v="2"/>
    <x v="2"/>
    <s v="EQUIPAMENTOS E MATERIAL PERMANENTE"/>
    <s v="TRANSFERENCIAS E CONVENIOS ESTADUAIS - VINCULADOS"/>
    <n v="453.3"/>
    <n v="153.30000000000001"/>
    <n v="0"/>
  </r>
  <r>
    <n v="2023"/>
    <n v="7"/>
    <s v="20.10.3.1.90.11.04.122.0001.2.002.01.110000"/>
    <x v="3"/>
    <x v="0"/>
    <x v="0"/>
    <s v="VENCIMENTOS E VANTAGENS FIXAS -  PESSOAL CIVIL"/>
    <s v="TESOURO"/>
    <n v="1837588.48"/>
    <n v="1837588.48"/>
    <n v="1838371.48"/>
  </r>
  <r>
    <n v="2023"/>
    <n v="7"/>
    <s v="20.10.3.3.90.30.04.122.0001.2.002.01.110000"/>
    <x v="3"/>
    <x v="0"/>
    <x v="0"/>
    <s v="MATERIAL DE CONSUMO"/>
    <s v="TESOURO"/>
    <n v="326962.48"/>
    <n v="348591.12"/>
    <n v="331669.99"/>
  </r>
  <r>
    <n v="2023"/>
    <n v="7"/>
    <s v="20.10.3.3.90.36.04.122.0001.2.002.01.110000"/>
    <x v="3"/>
    <x v="0"/>
    <x v="0"/>
    <s v="OUTROS SERVIÇOS DE TERCEIROS - PESSOA FÍSICA"/>
    <s v="TESOURO"/>
    <n v="58847.88"/>
    <n v="58847.88"/>
    <n v="59832.25"/>
  </r>
  <r>
    <n v="2023"/>
    <n v="7"/>
    <s v="20.10.3.3.90.39.04.122.0001.2.002.01.110000"/>
    <x v="3"/>
    <x v="0"/>
    <x v="0"/>
    <s v="OUTROS SERVIÇOS DE TERCEIROS -  PESSOA JURÍDICA"/>
    <s v="TESOURO"/>
    <n v="29036.73"/>
    <n v="33958.129999999997"/>
    <n v="50933.54"/>
  </r>
  <r>
    <n v="2023"/>
    <n v="7"/>
    <s v="20.10.3.3.90.39.04.122.0001.2.051.01.110000"/>
    <x v="3"/>
    <x v="0"/>
    <x v="0"/>
    <s v="OUTROS SERVIÇOS DE TERCEIROS -  PESSOA JURÍDICA"/>
    <s v="TESOURO"/>
    <n v="323675.88"/>
    <n v="1507615.82"/>
    <n v="1270488.77"/>
  </r>
  <r>
    <n v="2023"/>
    <n v="7"/>
    <s v="20.10.3.3.90.39.04.122.0001.2.051.91.110000"/>
    <x v="3"/>
    <x v="0"/>
    <x v="0"/>
    <s v="OUTROS SERVIÇOS DE TERCEIROS -  PESSOA JURÍDICA"/>
    <s v="TESOURO - EXERCÍCIO ANTERIOR"/>
    <n v="735000"/>
    <n v="0"/>
    <n v="0"/>
  </r>
  <r>
    <n v="2023"/>
    <n v="7"/>
    <s v="20.10.3.3.90.40.04.122.0001.2.051.01.110000"/>
    <x v="3"/>
    <x v="0"/>
    <x v="0"/>
    <s v="SERVIÇOS DE TECNOLOGIA DA INFORMAÇÃO E COMUNICAÇÃO - PJ"/>
    <s v="TESOURO"/>
    <n v="8400"/>
    <n v="2893486.07"/>
    <n v="2886473.04"/>
  </r>
  <r>
    <n v="2023"/>
    <n v="7"/>
    <s v="20.10.4.4.90.52.04.122.0001.2.051.01.100177"/>
    <x v="3"/>
    <x v="0"/>
    <x v="0"/>
    <s v="EQUIPAMENTOS E MATERIAL PERMANENTE"/>
    <s v="TESOURO"/>
    <n v="9636.15"/>
    <n v="2090"/>
    <n v="1588.4"/>
  </r>
  <r>
    <n v="2023"/>
    <n v="7"/>
    <s v="30.10.3.1.90.11.15.127.0011.2.002.01.110000"/>
    <x v="4"/>
    <x v="3"/>
    <x v="3"/>
    <s v="VENCIMENTOS E VANTAGENS FIXAS -  PESSOAL CIVIL"/>
    <s v="TESOURO"/>
    <n v="541440.98"/>
    <n v="541440.98"/>
    <n v="541440.98"/>
  </r>
  <r>
    <n v="2023"/>
    <n v="7"/>
    <s v="30.10.3.3.50.39.18.541.0011.2.052.93.100050"/>
    <x v="4"/>
    <x v="4"/>
    <x v="4"/>
    <s v="OUTROS SERVIÇOS DE TERCEIROS -PESSOA JURÍDICA"/>
    <s v="RECURSOS PROPRIOS DE FUNDOS ESPECIAIS DE DESPESA - VINCULADOS - EXERCÍCIO ANTERIOR"/>
    <n v="0"/>
    <n v="24957.119999999999"/>
    <n v="22157.119999999999"/>
  </r>
  <r>
    <n v="2023"/>
    <n v="7"/>
    <s v="30.10.3.3.71.70.15.127.0011.2.011.01.100190"/>
    <x v="4"/>
    <x v="3"/>
    <x v="3"/>
    <s v="RATEIO PELA PARTICIPAÇÃO EM CONSÓRCIO PÚBLICO"/>
    <s v="TESOURO"/>
    <n v="0"/>
    <n v="296769.71999999997"/>
    <n v="296769.71999999997"/>
  </r>
  <r>
    <n v="2023"/>
    <n v="7"/>
    <s v="30.10.3.3.90.30.15.127.0011.2.002.01.110000"/>
    <x v="4"/>
    <x v="3"/>
    <x v="3"/>
    <s v="MATERIAL DE CONSUMO"/>
    <s v="TESOURO"/>
    <n v="4653.8100000000004"/>
    <n v="4026.96"/>
    <n v="1690.68"/>
  </r>
  <r>
    <n v="2023"/>
    <n v="7"/>
    <s v="30.10.3.3.90.30.18.541.0011.2.052.03.100050"/>
    <x v="4"/>
    <x v="4"/>
    <x v="4"/>
    <s v="MATERIAL DE CONSUMO"/>
    <s v="RECURSOS PROPRIOS DE FUNDOS ESPECIAIS DE DESPESA - VINCULADOS"/>
    <n v="7084.98"/>
    <n v="0"/>
    <n v="17000"/>
  </r>
  <r>
    <n v="2023"/>
    <n v="7"/>
    <s v="30.10.3.3.90.36.15.127.0011.2.002.01.110000"/>
    <x v="4"/>
    <x v="3"/>
    <x v="3"/>
    <s v="OUTROS SERVIÇOS DE TERCEIROS - PESSOA FÍSICA"/>
    <s v="TESOURO"/>
    <n v="38470.75"/>
    <n v="38470.75"/>
    <n v="38470.75"/>
  </r>
  <r>
    <n v="2023"/>
    <n v="7"/>
    <s v="30.10.3.3.90.39.15.127.0011.2.002.01.110000"/>
    <x v="4"/>
    <x v="3"/>
    <x v="3"/>
    <s v="OUTROS SERVIÇOS DE TERCEIROS -  PESSOA JURÍDICA"/>
    <s v="TESOURO"/>
    <n v="64487.55"/>
    <n v="50923.5"/>
    <n v="36185.18"/>
  </r>
  <r>
    <n v="2023"/>
    <n v="7"/>
    <s v="30.10.3.3.90.39.15.127.0011.2.011.01.110000"/>
    <x v="4"/>
    <x v="3"/>
    <x v="3"/>
    <s v="OUTROS SERVIÇOS DE TERCEIROS -  PESSOA JURÍDICA"/>
    <s v="TESOURO"/>
    <n v="0"/>
    <n v="588323.81000000006"/>
    <n v="588323.81000000006"/>
  </r>
  <r>
    <n v="2023"/>
    <n v="7"/>
    <s v="30.10.3.3.90.39.15.127.0011.2.011.03.100134"/>
    <x v="4"/>
    <x v="3"/>
    <x v="3"/>
    <s v="OUTROS SERVIÇOS DE TERCEIROS -  PESSOA JURÍDICA"/>
    <s v="RECURSOS PROPRIOS DE FUNDOS ESPECIAIS DE DESPESA - VINCULADOS"/>
    <n v="0"/>
    <n v="29647.06"/>
    <n v="29647.05"/>
  </r>
  <r>
    <n v="2023"/>
    <n v="7"/>
    <s v="30.10.3.3.90.39.15.127.0011.2.011.03.700000"/>
    <x v="4"/>
    <x v="3"/>
    <x v="3"/>
    <s v="OUTROS SERVIÇOS DE TERCEIROS -  PESSOA JURÍDICA"/>
    <s v="RECURSOS PROPRIOS DE FUNDOS ESPECIAIS DE DESPESA - VINCULADOS"/>
    <n v="66011.14"/>
    <n v="337217.78"/>
    <n v="257399.6"/>
  </r>
  <r>
    <n v="2023"/>
    <n v="7"/>
    <s v="30.10.3.3.90.39.15.127.0011.2.011.93.700000"/>
    <x v="4"/>
    <x v="3"/>
    <x v="3"/>
    <s v="OUTROS SERVIÇOS DE TERCEIROS -  PESSOA JURÍDICA"/>
    <s v="RECURSOS PROPRIOS DE FUNDOS ESPECIAIS DE DESPESA - VINCULADOS - EXERCÍCIO ANTERIOR"/>
    <n v="0"/>
    <n v="0"/>
    <n v="0.04"/>
  </r>
  <r>
    <n v="2023"/>
    <n v="7"/>
    <s v="30.10.3.3.90.39.18.541.0011.2.052.02.100001"/>
    <x v="4"/>
    <x v="4"/>
    <x v="4"/>
    <s v="OUTROS SERVIÇOS DE TERCEIROS -  PESSOA JURÍDICA"/>
    <s v="TRANSFERENCIAS E CONVENIOS ESTADUAIS - VINCULADOS"/>
    <n v="0"/>
    <n v="97427.17"/>
    <n v="0"/>
  </r>
  <r>
    <n v="2023"/>
    <n v="7"/>
    <s v="30.10.3.3.90.39.18.541.0011.2.052.03.100050"/>
    <x v="4"/>
    <x v="4"/>
    <x v="4"/>
    <s v="OUTROS SERVIÇOS DE TERCEIROS -  PESSOA JURÍDICA"/>
    <s v="RECURSOS PROPRIOS DE FUNDOS ESPECIAIS DE DESPESA - VINCULADOS"/>
    <n v="0"/>
    <n v="41208.33"/>
    <n v="44852.31"/>
  </r>
  <r>
    <n v="2023"/>
    <n v="7"/>
    <s v="30.10.3.3.90.39.18.541.0011.2.052.03.100068"/>
    <x v="4"/>
    <x v="4"/>
    <x v="4"/>
    <s v="OUTROS SERVIÇOS DE TERCEIROS -  PESSOA JURÍDICA"/>
    <s v="RECURSOS PROPRIOS DE FUNDOS ESPECIAIS DE DESPESA - VINCULADOS"/>
    <n v="51538.39"/>
    <n v="81028.08"/>
    <n v="48677.4"/>
  </r>
  <r>
    <n v="2023"/>
    <n v="7"/>
    <s v="30.10.3.3.90.39.18.541.0011.2.052.93.100068"/>
    <x v="4"/>
    <x v="4"/>
    <x v="4"/>
    <s v="OUTROS SERVIÇOS DE TERCEIROS -  PESSOA JURÍDICA"/>
    <s v="RECURSOS PROPRIOS DE FUNDOS ESPECIAIS DE DESPESA - VINCULADOS - EXERCÍCIO ANTERIOR"/>
    <n v="0"/>
    <n v="108465.07"/>
    <n v="0"/>
  </r>
  <r>
    <n v="2023"/>
    <n v="7"/>
    <s v="30.10.4.4.90.51.18.541.0011.2.052.91.110000"/>
    <x v="4"/>
    <x v="4"/>
    <x v="4"/>
    <s v="OBRAS E INSTALAÇÕES"/>
    <s v="TESOURO - EXERCÍCIO ANTERIOR"/>
    <n v="3200"/>
    <n v="0"/>
    <n v="0"/>
  </r>
  <r>
    <n v="2023"/>
    <n v="7"/>
    <s v="30.10.4.4.90.52.15.127.0011.2.002.93.700000"/>
    <x v="4"/>
    <x v="3"/>
    <x v="3"/>
    <s v="EQUIPAMENTOS E MATERIAL PERMANENTE"/>
    <s v="RECURSOS PROPRIOS DE FUNDOS ESPECIAIS DE DESPESA - VINCULADOS - EXERCÍCIO ANTERIOR"/>
    <n v="117"/>
    <n v="0"/>
    <n v="0"/>
  </r>
  <r>
    <n v="2023"/>
    <n v="7"/>
    <s v="30.10.4.4.90.52.18.541.0011.2.052.93.100050"/>
    <x v="4"/>
    <x v="4"/>
    <x v="4"/>
    <s v="EQUIPAMENTOS E MATERIAL PERMANENTE"/>
    <s v="RECURSOS PROPRIOS DE FUNDOS ESPECIAIS DE DESPESA - VINCULADOS - EXERCÍCIO ANTERIOR"/>
    <n v="2037.27"/>
    <n v="0"/>
    <n v="0"/>
  </r>
  <r>
    <n v="2023"/>
    <n v="7"/>
    <s v="30.10.4.4.90.93.15.127.0011.2.011.05.100121"/>
    <x v="4"/>
    <x v="3"/>
    <x v="3"/>
    <s v="INDENIZAÇÕES E RESTITUIÇÕES"/>
    <s v="TRANSFERENCIAS E CONVENIOS FEDERAIS - VINCULADOS"/>
    <n v="23636.01"/>
    <n v="23636.01"/>
    <n v="23636.01"/>
  </r>
  <r>
    <n v="2023"/>
    <n v="7"/>
    <s v="30.10.4.4.90.93.15.127.0011.2.011.95.100121"/>
    <x v="4"/>
    <x v="3"/>
    <x v="3"/>
    <s v="INDENIZAÇÕES E RESTITUIÇÕES"/>
    <s v="TRANSFERENCIAS E CONVENIOS FEDERAIS - VINCULADOS - EXERCÍCIO ANTERIOR"/>
    <n v="660848.11"/>
    <n v="660848.11"/>
    <n v="660848.11"/>
  </r>
  <r>
    <n v="2023"/>
    <n v="7"/>
    <s v="35.10.3.1.90.11.15.451.0002.2.002.01.110000"/>
    <x v="5"/>
    <x v="3"/>
    <x v="5"/>
    <s v="VENCIMENTOS E VANTAGENS FIXAS -  PESSOAL CIVIL"/>
    <s v="TESOURO"/>
    <n v="375819.3"/>
    <n v="375819.3"/>
    <n v="375819.3"/>
  </r>
  <r>
    <n v="2023"/>
    <n v="7"/>
    <s v="35.10.3.3.90.30.15.451.0002.2.002.01.110000"/>
    <x v="5"/>
    <x v="3"/>
    <x v="5"/>
    <s v="MATERIAL DE CONSUMO"/>
    <s v="TESOURO"/>
    <n v="1304.5999999999999"/>
    <n v="847.13"/>
    <n v="5774.67"/>
  </r>
  <r>
    <n v="2023"/>
    <n v="7"/>
    <s v="35.10.3.3.90.36.15.451.0002.2.002.01.110000"/>
    <x v="5"/>
    <x v="3"/>
    <x v="5"/>
    <s v="OUTROS SERVIÇOS DE TERCEIROS - PESSOA FÍSICA"/>
    <s v="TESOURO"/>
    <n v="13382.43"/>
    <n v="20169.48"/>
    <n v="20304.48"/>
  </r>
  <r>
    <n v="2023"/>
    <n v="7"/>
    <s v="35.10.3.3.90.39.15.451.0002.1.003.03.100058"/>
    <x v="5"/>
    <x v="3"/>
    <x v="5"/>
    <s v="OUTROS SERVIÇOS DE TERCEIROS -  PESSOA JURÍDICA"/>
    <s v="RECURSOS PROPRIOS DE FUNDOS ESPECIAIS DE DESPESA - VINCULADOS"/>
    <n v="0"/>
    <n v="23394.06"/>
    <n v="23394.06"/>
  </r>
  <r>
    <n v="2023"/>
    <n v="7"/>
    <s v="35.10.3.3.90.39.15.451.0002.2.002.01.110000"/>
    <x v="5"/>
    <x v="3"/>
    <x v="5"/>
    <s v="OUTROS SERVIÇOS DE TERCEIROS -  PESSOA JURÍDICA"/>
    <s v="TESOURO"/>
    <n v="416162.48"/>
    <n v="1614862.46"/>
    <n v="1029696.6"/>
  </r>
  <r>
    <n v="2023"/>
    <n v="7"/>
    <s v="35.10.3.3.90.39.15.451.0002.2.002.91.110000"/>
    <x v="5"/>
    <x v="3"/>
    <x v="5"/>
    <s v="OUTROS SERVIÇOS DE TERCEIROS -  PESSOA JURÍDICA"/>
    <s v="TESOURO - EXERCÍCIO ANTERIOR"/>
    <n v="46300.88"/>
    <n v="0"/>
    <n v="0"/>
  </r>
  <r>
    <n v="2023"/>
    <n v="7"/>
    <s v="35.10.3.3.90.40.15.451.0002.2.002.01.110000"/>
    <x v="5"/>
    <x v="3"/>
    <x v="5"/>
    <s v="SERVIÇOS DE TECNOLOGIA DA INFORMAÇÃO E COMUNICAÇÃO - PJ"/>
    <s v="TESOURO"/>
    <n v="12511.68"/>
    <n v="573"/>
    <n v="573"/>
  </r>
  <r>
    <n v="2023"/>
    <n v="7"/>
    <s v="35.10.3.3.90.48.15.451.0002.2.002.01.110000"/>
    <x v="5"/>
    <x v="3"/>
    <x v="5"/>
    <s v="OUTROS AUXÍLIOS FINANCEIROS A PESSOA FÍSICA"/>
    <s v="TESOURO"/>
    <n v="446"/>
    <n v="446"/>
    <n v="446"/>
  </r>
  <r>
    <n v="2023"/>
    <n v="7"/>
    <s v="35.10.3.3.90.92.15.451.0002.2.002.01.110000"/>
    <x v="5"/>
    <x v="3"/>
    <x v="5"/>
    <s v="DESPESAS DE EXERCÍCIOS ANTERIORES"/>
    <s v="TESOURO"/>
    <n v="0"/>
    <n v="209.58"/>
    <n v="209.58"/>
  </r>
  <r>
    <n v="2023"/>
    <n v="7"/>
    <s v="35.10.4.4.90.51.15.451.0002.1.003.01.100137"/>
    <x v="5"/>
    <x v="3"/>
    <x v="5"/>
    <s v="OBRAS E INSTALAÇÕES"/>
    <s v="TESOURO"/>
    <n v="13940.41"/>
    <n v="33618.19"/>
    <n v="59661.72"/>
  </r>
  <r>
    <n v="2023"/>
    <n v="7"/>
    <s v="35.10.4.4.90.51.15.451.0002.1.003.01.110000"/>
    <x v="5"/>
    <x v="3"/>
    <x v="5"/>
    <s v="OBRAS E INSTALAÇÕES"/>
    <s v="TESOURO"/>
    <n v="-24622.29"/>
    <n v="4187914.48"/>
    <n v="3297959.53"/>
  </r>
  <r>
    <n v="2023"/>
    <n v="7"/>
    <s v="35.10.4.4.90.51.15.451.0002.1.003.01.140000"/>
    <x v="5"/>
    <x v="3"/>
    <x v="5"/>
    <s v="OBRAS E INSTALAÇÕES"/>
    <s v="TESOURO"/>
    <n v="-3374488.78"/>
    <n v="387582.81"/>
    <n v="733880.2"/>
  </r>
  <r>
    <n v="2023"/>
    <n v="7"/>
    <s v="35.10.4.4.90.51.15.451.0002.1.003.91.110000"/>
    <x v="5"/>
    <x v="3"/>
    <x v="5"/>
    <s v="OBRAS E INSTALAÇÕES"/>
    <s v="TESOURO - EXERCÍCIO ANTERIOR"/>
    <n v="601366.82999999996"/>
    <n v="0"/>
    <n v="0"/>
  </r>
  <r>
    <n v="2023"/>
    <n v="7"/>
    <s v="35.10.4.4.90.52.15.451.0002.2.002.01.110000"/>
    <x v="5"/>
    <x v="3"/>
    <x v="5"/>
    <s v="EQUIPAMENTOS E MATERIAL PERMANENTE"/>
    <s v="TESOURO"/>
    <n v="11934"/>
    <n v="35600"/>
    <n v="0"/>
  </r>
  <r>
    <n v="2023"/>
    <n v="7"/>
    <s v="35.10.4.4.90.61.15.451.0002.1.003.91.110000"/>
    <x v="5"/>
    <x v="3"/>
    <x v="5"/>
    <s v="AQUISIÇÃO DE IMÓVEIS"/>
    <s v="TESOURO - EXERCÍCIO ANTERIOR"/>
    <n v="243851.41"/>
    <n v="243851.41"/>
    <n v="1073976.4099999999"/>
  </r>
  <r>
    <n v="2023"/>
    <n v="7"/>
    <s v="40.10.3.1.90.04.12.361.0003.2.013.02.220221"/>
    <x v="6"/>
    <x v="5"/>
    <x v="6"/>
    <s v="CONTRATAÇÃO POR TEMPO DETERMINADO"/>
    <s v="TRANSFERENCIAS E CONVENIOS ESTADUAIS - VINCULADOS"/>
    <n v="1326111.28"/>
    <n v="1326111.28"/>
    <n v="1326111.28"/>
  </r>
  <r>
    <n v="2023"/>
    <n v="7"/>
    <s v="40.10.3.1.90.11.12.122.0003.2.064.01.110000"/>
    <x v="6"/>
    <x v="5"/>
    <x v="0"/>
    <s v="VENCIMENTOS E VANTAGENS FIXAS -  PESSOAL CIVIL"/>
    <s v="TESOURO"/>
    <n v="40226.04"/>
    <n v="40226.04"/>
    <n v="40226.04"/>
  </r>
  <r>
    <n v="2023"/>
    <n v="7"/>
    <s v="40.10.3.1.90.11.12.361.0003.2.012.01.220000"/>
    <x v="6"/>
    <x v="5"/>
    <x v="6"/>
    <s v="VENCIMENTOS E VANTAGENS FIXAS -  PESSOAL CIVIL"/>
    <s v="TESOURO"/>
    <n v="233620.68"/>
    <n v="233620.68"/>
    <n v="237548.99"/>
  </r>
  <r>
    <n v="2023"/>
    <n v="7"/>
    <s v="40.10.3.1.90.11.12.361.0003.2.013.02.220221"/>
    <x v="6"/>
    <x v="5"/>
    <x v="6"/>
    <s v="VENCIMENTOS E VANTAGENS FIXAS -  PESSOAL CIVIL"/>
    <s v="TRANSFERENCIAS E CONVENIOS ESTADUAIS - VINCULADOS"/>
    <n v="623858.38"/>
    <n v="623858.38"/>
    <n v="627117.55000000005"/>
  </r>
  <r>
    <n v="2023"/>
    <n v="7"/>
    <s v="40.10.3.1.90.13.12.122.0003.2.064.01.110000"/>
    <x v="6"/>
    <x v="5"/>
    <x v="0"/>
    <s v="OBRIGAÇÕES PATRONAIS"/>
    <s v="TESOURO"/>
    <n v="2087.3200000000002"/>
    <n v="2087.3200000000002"/>
    <n v="2087.3200000000002"/>
  </r>
  <r>
    <n v="2023"/>
    <n v="7"/>
    <s v="40.10.3.1.90.13.12.361.0003.2.012.01.220000"/>
    <x v="6"/>
    <x v="5"/>
    <x v="6"/>
    <s v="OBRIGAÇÕES PATRONAIS"/>
    <s v="TESOURO"/>
    <n v="43301.01"/>
    <n v="43301.01"/>
    <n v="43301.01"/>
  </r>
  <r>
    <n v="2023"/>
    <n v="7"/>
    <s v="40.10.3.1.90.13.12.361.0003.2.013.02.220221"/>
    <x v="6"/>
    <x v="5"/>
    <x v="6"/>
    <s v="OBRIGAÇÕES PATRONAIS"/>
    <s v="TRANSFERENCIAS E CONVENIOS ESTADUAIS - VINCULADOS"/>
    <n v="317921.2"/>
    <n v="317921.2"/>
    <n v="317921.2"/>
  </r>
  <r>
    <n v="2023"/>
    <n v="7"/>
    <s v="40.10.3.1.90.16.12.361.0003.2.012.01.220000"/>
    <x v="6"/>
    <x v="5"/>
    <x v="6"/>
    <s v="OUTRAS DESPESAS VARIÁVEIS - PESSOAL CIVIL"/>
    <s v="TESOURO"/>
    <n v="1588.9"/>
    <n v="1588.9"/>
    <n v="1588.9"/>
  </r>
  <r>
    <n v="2023"/>
    <n v="7"/>
    <s v="40.10.3.1.91.13.12.122.0003.2.064.01.110000"/>
    <x v="6"/>
    <x v="5"/>
    <x v="0"/>
    <s v="OBRIGAÇÕES PATRONAIS"/>
    <s v="TESOURO"/>
    <n v="2446.66"/>
    <n v="2446.66"/>
    <n v="2446.66"/>
  </r>
  <r>
    <n v="2023"/>
    <n v="7"/>
    <s v="40.10.3.1.91.13.12.361.0003.2.013.02.220221"/>
    <x v="6"/>
    <x v="5"/>
    <x v="6"/>
    <s v="OBRIGAÇÕES PATRONAIS"/>
    <s v="TRANSFERENCIAS E CONVENIOS ESTADUAIS - VINCULADOS"/>
    <n v="145193.24"/>
    <n v="145193.24"/>
    <n v="145193.24"/>
  </r>
  <r>
    <n v="2023"/>
    <n v="7"/>
    <s v="40.10.3.3.50.39.12.361.0003.2.013.01.220000"/>
    <x v="6"/>
    <x v="5"/>
    <x v="6"/>
    <s v="OUTROS SERVIÇOS DE TERCEIROS -PESSOA JURÍDICA"/>
    <s v="TESOURO"/>
    <n v="747568.12"/>
    <n v="1106472.74"/>
    <n v="667809.02"/>
  </r>
  <r>
    <n v="2023"/>
    <n v="7"/>
    <s v="40.10.3.3.50.39.12.361.0003.2.013.02.220221"/>
    <x v="6"/>
    <x v="5"/>
    <x v="6"/>
    <s v="OUTROS SERVIÇOS DE TERCEIROS -PESSOA JURÍDICA"/>
    <s v="TRANSFERENCIAS E CONVENIOS ESTADUAIS - VINCULADOS"/>
    <n v="0"/>
    <n v="50808.72"/>
    <n v="50808.72"/>
  </r>
  <r>
    <n v="2023"/>
    <n v="7"/>
    <s v="40.10.3.3.50.39.12.365.0003.2.028.01.210000"/>
    <x v="6"/>
    <x v="5"/>
    <x v="7"/>
    <s v="OUTROS SERVIÇOS DE TERCEIROS -PESSOA JURÍDICA"/>
    <s v="TESOURO"/>
    <n v="-2221415.64"/>
    <n v="6604354"/>
    <n v="6492186.6600000001"/>
  </r>
  <r>
    <n v="2023"/>
    <n v="7"/>
    <s v="40.10.3.3.50.39.12.367.0003.2.017.01.240000"/>
    <x v="6"/>
    <x v="5"/>
    <x v="8"/>
    <s v="OUTROS SERVIÇOS DE TERCEIROS -PESSOA JURÍDICA"/>
    <s v="TESOURO"/>
    <n v="6008683.25"/>
    <n v="586570.85"/>
    <n v="1527255.7"/>
  </r>
  <r>
    <n v="2023"/>
    <n v="7"/>
    <s v="40.10.3.3.50.39.12.367.0003.2.017.02.240221"/>
    <x v="6"/>
    <x v="5"/>
    <x v="8"/>
    <s v="OUTROS SERVIÇOS DE TERCEIROS -PESSOA JURÍDICA"/>
    <s v="TRANSFERENCIAS E CONVENIOS ESTADUAIS - VINCULADOS"/>
    <n v="1031260.25"/>
    <n v="20738.150000000001"/>
    <n v="225083.56"/>
  </r>
  <r>
    <n v="2023"/>
    <n v="7"/>
    <s v="40.10.3.3.90.08.12.122.0003.2.064.01.110000"/>
    <x v="6"/>
    <x v="5"/>
    <x v="0"/>
    <s v="OUTROS BENEFÍCIOS ASSISTENCIAIS DO SERVIDOR E DO MILITAR"/>
    <s v="TESOURO"/>
    <n v="50"/>
    <n v="50"/>
    <n v="50"/>
  </r>
  <r>
    <n v="2023"/>
    <n v="7"/>
    <s v="40.10.3.3.90.08.12.361.0003.2.012.01.220000"/>
    <x v="6"/>
    <x v="5"/>
    <x v="6"/>
    <s v="OUTROS BENEFÍCIOS ASSISTENCIAIS DO SERVIDOR E DO MILITAR"/>
    <s v="TESOURO"/>
    <n v="6044.22"/>
    <n v="6044.22"/>
    <n v="6044.22"/>
  </r>
  <r>
    <n v="2023"/>
    <n v="7"/>
    <s v="40.10.3.3.90.08.12.361.0003.2.013.01.220000"/>
    <x v="6"/>
    <x v="5"/>
    <x v="6"/>
    <s v="OUTROS BENEFÍCIOS ASSISTENCIAIS DO SERVIDOR E DO MILITAR"/>
    <s v="TESOURO"/>
    <n v="64646.66"/>
    <n v="64646.66"/>
    <n v="64646.66"/>
  </r>
  <r>
    <n v="2023"/>
    <n v="7"/>
    <s v="40.10.3.3.90.08.12.365.0003.2.054.01.212000"/>
    <x v="6"/>
    <x v="5"/>
    <x v="7"/>
    <s v="OUTROS BENEFÍCIOS ASSISTENCIAIS DO SERVIDOR E DO MILITAR"/>
    <s v="TESOURO"/>
    <n v="6424"/>
    <n v="6424"/>
    <n v="6424"/>
  </r>
  <r>
    <n v="2023"/>
    <n v="7"/>
    <s v="40.10.3.3.90.08.12.365.0003.2.054.01.213000"/>
    <x v="6"/>
    <x v="5"/>
    <x v="7"/>
    <s v="OUTROS BENEFÍCIOS ASSISTENCIAIS DO SERVIDOR E DO MILITAR"/>
    <s v="TESOURO"/>
    <n v="70587.12"/>
    <n v="70587.12"/>
    <n v="70587.12"/>
  </r>
  <r>
    <n v="2023"/>
    <n v="7"/>
    <s v="40.10.3.3.90.08.12.367.0003.2.017.01.240000"/>
    <x v="6"/>
    <x v="5"/>
    <x v="8"/>
    <s v="OUTROS BENEFÍCIOS ASSISTENCIAIS DO SERVIDOR E DO MILITAR"/>
    <s v="TESOURO"/>
    <n v="999.6"/>
    <n v="999.6"/>
    <n v="999.6"/>
  </r>
  <r>
    <n v="2023"/>
    <n v="7"/>
    <s v="40.10.3.3.90.14.12.361.0003.2.012.01.220000"/>
    <x v="6"/>
    <x v="5"/>
    <x v="6"/>
    <s v="DIÁRIAS - PESSOAL CIVIL"/>
    <s v="TESOURO"/>
    <n v="0"/>
    <n v="0"/>
    <n v="800"/>
  </r>
  <r>
    <n v="2023"/>
    <n v="7"/>
    <s v="40.10.3.3.90.30.12.306.0003.2.025.02.220222"/>
    <x v="6"/>
    <x v="5"/>
    <x v="9"/>
    <s v="MATERIAL DE CONSUMO"/>
    <s v="TRANSFERENCIAS E CONVENIOS ESTADUAIS - VINCULADOS"/>
    <n v="0"/>
    <n v="1290756.46"/>
    <n v="1290756.46"/>
  </r>
  <r>
    <n v="2023"/>
    <n v="7"/>
    <s v="40.10.3.3.90.30.12.306.0003.2.025.05.281032"/>
    <x v="6"/>
    <x v="5"/>
    <x v="9"/>
    <s v="MATERIAL DE CONSUMO"/>
    <s v="TRANSFERENCIAS E CONVENIOS FEDERAIS - VINCULADOS"/>
    <n v="0"/>
    <n v="1956139.19"/>
    <n v="1956139.19"/>
  </r>
  <r>
    <n v="2023"/>
    <n v="7"/>
    <s v="40.10.3.3.90.30.12.306.0003.2.025.05.282032"/>
    <x v="6"/>
    <x v="5"/>
    <x v="9"/>
    <s v="MATERIAL DE CONSUMO"/>
    <s v="TRANSFERENCIAS E CONVENIOS FEDERAIS - VINCULADOS"/>
    <n v="0"/>
    <n v="1290756.46"/>
    <n v="1290756.46"/>
  </r>
  <r>
    <n v="2023"/>
    <n v="7"/>
    <s v="40.10.3.3.90.30.12.306.0003.2.025.05.283011"/>
    <x v="6"/>
    <x v="5"/>
    <x v="9"/>
    <s v="MATERIAL DE CONSUMO"/>
    <s v="TRANSFERENCIAS E CONVENIOS FEDERAIS - VINCULADOS"/>
    <n v="524102.13"/>
    <n v="191451.57"/>
    <n v="660042.56000000006"/>
  </r>
  <r>
    <n v="2023"/>
    <n v="7"/>
    <s v="40.10.3.3.90.30.12.306.0003.2.025.05.284011"/>
    <x v="6"/>
    <x v="5"/>
    <x v="9"/>
    <s v="MATERIAL DE CONSUMO"/>
    <s v="TRANSFERENCIAS E CONVENIOS FEDERAIS - VINCULADOS"/>
    <n v="0"/>
    <n v="151134.84"/>
    <n v="636101.44999999995"/>
  </r>
  <r>
    <n v="2023"/>
    <n v="7"/>
    <s v="40.10.3.3.90.30.12.306.0003.2.025.05.285011"/>
    <x v="6"/>
    <x v="5"/>
    <x v="9"/>
    <s v="MATERIAL DE CONSUMO"/>
    <s v="TRANSFERENCIAS E CONVENIOS FEDERAIS - VINCULADOS"/>
    <n v="-24610.53"/>
    <n v="81487.759999999995"/>
    <n v="56666.77"/>
  </r>
  <r>
    <n v="2023"/>
    <n v="7"/>
    <s v="40.10.3.3.90.30.12.306.0003.2.025.95.284011"/>
    <x v="6"/>
    <x v="5"/>
    <x v="9"/>
    <s v="MATERIAL DE CONSUMO"/>
    <s v="TRANSFERENCIAS E CONVENIOS FEDERAIS - VINCULADOS - EXERCÍCIO ANTERIOR"/>
    <n v="240523.2"/>
    <n v="26108.79"/>
    <n v="0"/>
  </r>
  <r>
    <n v="2023"/>
    <n v="7"/>
    <s v="40.10.3.3.90.30.12.361.0003.2.012.01.220000"/>
    <x v="6"/>
    <x v="5"/>
    <x v="6"/>
    <s v="MATERIAL DE CONSUMO"/>
    <s v="TESOURO"/>
    <n v="690007.51"/>
    <n v="342916.25"/>
    <n v="500263.24"/>
  </r>
  <r>
    <n v="2023"/>
    <n v="7"/>
    <s v="40.10.3.3.90.30.12.361.0003.2.013.01.220000"/>
    <x v="6"/>
    <x v="5"/>
    <x v="6"/>
    <s v="MATERIAL DE CONSUMO"/>
    <s v="TESOURO"/>
    <n v="13391.6"/>
    <n v="85101.06"/>
    <n v="110089.62"/>
  </r>
  <r>
    <n v="2023"/>
    <n v="7"/>
    <s v="40.10.3.3.90.30.12.361.0003.2.013.02.220221"/>
    <x v="6"/>
    <x v="5"/>
    <x v="6"/>
    <s v="MATERIAL DE CONSUMO"/>
    <s v="TRANSFERENCIAS E CONVENIOS ESTADUAIS - VINCULADOS"/>
    <n v="0"/>
    <n v="5131.1400000000003"/>
    <n v="8232.14"/>
  </r>
  <r>
    <n v="2023"/>
    <n v="7"/>
    <s v="40.10.3.3.90.30.12.361.0003.2.013.05.282032"/>
    <x v="6"/>
    <x v="5"/>
    <x v="6"/>
    <s v="MATERIAL DE CONSUMO"/>
    <s v="TRANSFERENCIAS E CONVENIOS FEDERAIS - VINCULADOS"/>
    <n v="90613.28"/>
    <n v="67092.399999999994"/>
    <n v="75600.84"/>
  </r>
  <r>
    <n v="2023"/>
    <n v="7"/>
    <s v="40.10.3.3.90.30.12.361.0003.2.013.95.282032"/>
    <x v="6"/>
    <x v="5"/>
    <x v="6"/>
    <s v="MATERIAL DE CONSUMO"/>
    <s v="TRANSFERENCIAS E CONVENIOS FEDERAIS - VINCULADOS - EXERCÍCIO ANTERIOR"/>
    <n v="10708"/>
    <n v="15038.91"/>
    <n v="64690.07"/>
  </r>
  <r>
    <n v="2023"/>
    <n v="7"/>
    <s v="40.10.3.3.90.30.12.365.0003.2.054.01.212000"/>
    <x v="6"/>
    <x v="5"/>
    <x v="7"/>
    <s v="MATERIAL DE CONSUMO"/>
    <s v="TESOURO"/>
    <n v="0"/>
    <n v="702"/>
    <n v="0"/>
  </r>
  <r>
    <n v="2023"/>
    <n v="7"/>
    <s v="40.10.3.3.90.30.12.365.0003.2.054.01.213000"/>
    <x v="6"/>
    <x v="5"/>
    <x v="7"/>
    <s v="MATERIAL DE CONSUMO"/>
    <s v="TESOURO"/>
    <n v="6999.84"/>
    <n v="6999.84"/>
    <n v="0"/>
  </r>
  <r>
    <n v="2023"/>
    <n v="7"/>
    <s v="40.10.3.3.90.30.12.365.0003.2.054.05.280032"/>
    <x v="6"/>
    <x v="5"/>
    <x v="7"/>
    <s v="MATERIAL DE CONSUMO"/>
    <s v="TRANSFERENCIAS E CONVENIOS FEDERAIS - VINCULADOS"/>
    <n v="-15850"/>
    <n v="249052.19"/>
    <n v="83106.210000000006"/>
  </r>
  <r>
    <n v="2023"/>
    <n v="7"/>
    <s v="40.10.3.3.90.30.12.365.0003.2.054.95.212087"/>
    <x v="6"/>
    <x v="5"/>
    <x v="7"/>
    <s v="MATERIAL DE CONSUMO"/>
    <s v="TRANSFERENCIAS E CONVENIOS FEDERAIS - VINCULADOS - EXERCÍCIO ANTERIOR"/>
    <n v="0"/>
    <n v="38680.6"/>
    <n v="5689.32"/>
  </r>
  <r>
    <n v="2023"/>
    <n v="7"/>
    <s v="40.10.3.3.90.30.12.365.0003.2.054.95.212116"/>
    <x v="6"/>
    <x v="5"/>
    <x v="7"/>
    <s v="MATERIAL DE CONSUMO"/>
    <s v="TRANSFERENCIAS E CONVENIOS FEDERAIS - VINCULADOS - EXERCÍCIO ANTERIOR"/>
    <n v="13500"/>
    <n v="57171.5"/>
    <n v="16211"/>
  </r>
  <r>
    <n v="2023"/>
    <n v="7"/>
    <s v="40.10.3.3.90.30.12.366.0003.2.016.01.220000"/>
    <x v="6"/>
    <x v="5"/>
    <x v="10"/>
    <s v="MATERIAL DE CONSUMO"/>
    <s v="TESOURO"/>
    <n v="0"/>
    <n v="145530"/>
    <n v="0"/>
  </r>
  <r>
    <n v="2023"/>
    <n v="7"/>
    <s v="40.10.3.3.90.30.12.367.0003.2.017.01.240000"/>
    <x v="6"/>
    <x v="5"/>
    <x v="8"/>
    <s v="MATERIAL DE CONSUMO"/>
    <s v="TESOURO"/>
    <n v="0"/>
    <n v="37889.22"/>
    <n v="55816.25"/>
  </r>
  <r>
    <n v="2023"/>
    <n v="7"/>
    <s v="40.10.3.3.90.30.13.392.0003.2.057.01.220108"/>
    <x v="6"/>
    <x v="6"/>
    <x v="11"/>
    <s v="MATERIAL DE CONSUMO"/>
    <s v="TESOURO"/>
    <n v="0"/>
    <n v="1400"/>
    <n v="1400"/>
  </r>
  <r>
    <n v="2023"/>
    <n v="7"/>
    <s v="40.10.3.3.90.36.12.361.0003.2.012.01.220000"/>
    <x v="6"/>
    <x v="5"/>
    <x v="6"/>
    <s v="OUTROS SERVIÇOS DE TERCEIROS - PESSOA FÍSICA"/>
    <s v="TESOURO"/>
    <n v="20471.560000000001"/>
    <n v="20471.560000000001"/>
    <n v="20844.72"/>
  </r>
  <r>
    <n v="2023"/>
    <n v="7"/>
    <s v="40.10.3.3.90.36.12.361.0003.2.013.01.220000"/>
    <x v="6"/>
    <x v="5"/>
    <x v="6"/>
    <s v="OUTROS SERVIÇOS DE TERCEIROS - PESSOA FÍSICA"/>
    <s v="TESOURO"/>
    <n v="52356.31"/>
    <n v="54356.31"/>
    <n v="54356.31"/>
  </r>
  <r>
    <n v="2023"/>
    <n v="7"/>
    <s v="40.10.3.3.90.36.12.361.0003.2.026.01.220000"/>
    <x v="6"/>
    <x v="5"/>
    <x v="6"/>
    <s v="OUTROS SERVIÇOS DE TERCEIROS - PESSOA FÍSICA"/>
    <s v="TESOURO"/>
    <n v="630316.30000000005"/>
    <n v="547142.51"/>
    <n v="544455.76"/>
  </r>
  <r>
    <n v="2023"/>
    <n v="7"/>
    <s v="40.10.3.3.90.36.12.361.0003.2.026.02.220013"/>
    <x v="6"/>
    <x v="5"/>
    <x v="6"/>
    <s v="OUTROS SERVIÇOS DE TERCEIROS - PESSOA FÍSICA"/>
    <s v="TRANSFERENCIAS E CONVENIOS ESTADUAIS - VINCULADOS"/>
    <n v="192413.89"/>
    <n v="1292693.99"/>
    <n v="1286656.46"/>
  </r>
  <r>
    <n v="2023"/>
    <n v="7"/>
    <s v="40.10.3.3.90.36.12.361.0003.2.026.05.288089"/>
    <x v="6"/>
    <x v="5"/>
    <x v="6"/>
    <s v="OUTROS SERVIÇOS DE TERCEIROS - PESSOA FÍSICA"/>
    <s v="TRANSFERENCIAS E CONVENIOS FEDERAIS - VINCULADOS"/>
    <n v="0"/>
    <n v="73511.360000000001"/>
    <n v="73511.360000000001"/>
  </r>
  <r>
    <n v="2023"/>
    <n v="7"/>
    <s v="40.10.3.3.90.36.12.365.0003.2.054.01.212000"/>
    <x v="6"/>
    <x v="5"/>
    <x v="7"/>
    <s v="OUTROS SERVIÇOS DE TERCEIROS - PESSOA FÍSICA"/>
    <s v="TESOURO"/>
    <n v="65524.07"/>
    <n v="65524.07"/>
    <n v="66798.92"/>
  </r>
  <r>
    <n v="2023"/>
    <n v="7"/>
    <s v="40.10.3.3.90.36.12.365.0003.2.054.01.213000"/>
    <x v="6"/>
    <x v="5"/>
    <x v="7"/>
    <s v="OUTROS SERVIÇOS DE TERCEIROS - PESSOA FÍSICA"/>
    <s v="TESOURO"/>
    <n v="585428.78"/>
    <n v="593066.19999999995"/>
    <n v="592566.07999999996"/>
  </r>
  <r>
    <n v="2023"/>
    <n v="7"/>
    <s v="40.10.3.3.90.37.12.361.0003.2.012.01.220000"/>
    <x v="6"/>
    <x v="5"/>
    <x v="6"/>
    <s v="LOCAÇÃO DE MÃO-DE-OBRA"/>
    <s v="TESOURO"/>
    <n v="0"/>
    <n v="94717.75"/>
    <n v="189571.72"/>
  </r>
  <r>
    <n v="2023"/>
    <n v="7"/>
    <s v="40.10.3.3.90.37.12.361.0003.2.013.01.220000"/>
    <x v="6"/>
    <x v="5"/>
    <x v="6"/>
    <s v="LOCAÇÃO DE MÃO-DE-OBRA"/>
    <s v="TESOURO"/>
    <n v="0"/>
    <n v="606193.56999999995"/>
    <n v="1213258.95"/>
  </r>
  <r>
    <n v="2023"/>
    <n v="7"/>
    <s v="40.10.3.3.90.37.12.365.0003.2.054.01.212000"/>
    <x v="6"/>
    <x v="5"/>
    <x v="7"/>
    <s v="LOCAÇÃO DE MÃO-DE-OBRA"/>
    <s v="TESOURO"/>
    <n v="0"/>
    <n v="397814.53"/>
    <n v="796201.18"/>
  </r>
  <r>
    <n v="2023"/>
    <n v="7"/>
    <s v="40.10.3.3.90.37.12.365.0003.2.054.01.213000"/>
    <x v="6"/>
    <x v="5"/>
    <x v="7"/>
    <s v="LOCAÇÃO DE MÃO-DE-OBRA"/>
    <s v="TESOURO"/>
    <n v="0"/>
    <n v="681967.76"/>
    <n v="1364916.31"/>
  </r>
  <r>
    <n v="2023"/>
    <n v="7"/>
    <s v="40.10.3.3.90.39.04.122.0003.2.053.01.220103"/>
    <x v="6"/>
    <x v="0"/>
    <x v="0"/>
    <s v="OUTROS SERVIÇOS DE TERCEIROS -  PESSOA JURÍDICA"/>
    <s v="TESOURO"/>
    <n v="0"/>
    <n v="1138921.6000000001"/>
    <n v="1148058.42"/>
  </r>
  <r>
    <n v="2023"/>
    <n v="7"/>
    <s v="40.10.3.3.90.39.12.122.0003.2.064.01.110000"/>
    <x v="6"/>
    <x v="5"/>
    <x v="0"/>
    <s v="OUTROS SERVIÇOS DE TERCEIROS -  PESSOA JURÍDICA"/>
    <s v="TESOURO"/>
    <n v="-20615.52"/>
    <n v="68129.320000000007"/>
    <n v="61669.35"/>
  </r>
  <r>
    <n v="2023"/>
    <n v="7"/>
    <s v="40.10.3.3.90.39.12.306.0003.2.025.02.220222"/>
    <x v="6"/>
    <x v="5"/>
    <x v="9"/>
    <s v="OUTROS SERVIÇOS DE TERCEIROS -  PESSOA JURÍDICA"/>
    <s v="TRANSFERENCIAS E CONVENIOS ESTADUAIS - VINCULADOS"/>
    <n v="0"/>
    <n v="1577720.23"/>
    <n v="1577720.23"/>
  </r>
  <r>
    <n v="2023"/>
    <n v="7"/>
    <s v="40.10.3.3.90.39.12.306.0003.2.025.05.281032"/>
    <x v="6"/>
    <x v="5"/>
    <x v="9"/>
    <s v="OUTROS SERVIÇOS DE TERCEIROS -  PESSOA JURÍDICA"/>
    <s v="TRANSFERENCIAS E CONVENIOS FEDERAIS - VINCULADOS"/>
    <n v="0"/>
    <n v="1567421.94"/>
    <n v="1567421.94"/>
  </r>
  <r>
    <n v="2023"/>
    <n v="7"/>
    <s v="40.10.3.3.90.39.12.306.0003.2.025.05.282032"/>
    <x v="6"/>
    <x v="5"/>
    <x v="9"/>
    <s v="OUTROS SERVIÇOS DE TERCEIROS -  PESSOA JURÍDICA"/>
    <s v="TRANSFERENCIAS E CONVENIOS FEDERAIS - VINCULADOS"/>
    <n v="0"/>
    <n v="1577720.23"/>
    <n v="1577720.23"/>
  </r>
  <r>
    <n v="2023"/>
    <n v="7"/>
    <s v="40.10.3.3.90.39.12.361.0003.2.007.01.220000"/>
    <x v="6"/>
    <x v="5"/>
    <x v="6"/>
    <s v="OUTROS SERVIÇOS DE TERCEIROS -  PESSOA JURÍDICA"/>
    <s v="TESOURO"/>
    <n v="642"/>
    <n v="1357028.61"/>
    <n v="1300101.23"/>
  </r>
  <r>
    <n v="2023"/>
    <n v="7"/>
    <s v="40.10.3.3.90.39.12.361.0003.2.012.01.220000"/>
    <x v="6"/>
    <x v="5"/>
    <x v="6"/>
    <s v="OUTROS SERVIÇOS DE TERCEIROS -  PESSOA JURÍDICA"/>
    <s v="TESOURO"/>
    <n v="95586.48"/>
    <n v="1193948.47"/>
    <n v="1077594.92"/>
  </r>
  <r>
    <n v="2023"/>
    <n v="7"/>
    <s v="40.10.3.3.90.39.12.361.0003.2.013.01.220000"/>
    <x v="6"/>
    <x v="5"/>
    <x v="6"/>
    <s v="OUTROS SERVIÇOS DE TERCEIROS -  PESSOA JURÍDICA"/>
    <s v="TESOURO"/>
    <n v="405013.89"/>
    <n v="5108709.76"/>
    <n v="4862645.05"/>
  </r>
  <r>
    <n v="2023"/>
    <n v="7"/>
    <s v="40.10.3.3.90.39.12.361.0003.2.013.02.220221"/>
    <x v="6"/>
    <x v="5"/>
    <x v="6"/>
    <s v="OUTROS SERVIÇOS DE TERCEIROS -  PESSOA JURÍDICA"/>
    <s v="TRANSFERENCIAS E CONVENIOS ESTADUAIS - VINCULADOS"/>
    <n v="1244.19"/>
    <n v="851700.07"/>
    <n v="772984.97"/>
  </r>
  <r>
    <n v="2023"/>
    <n v="7"/>
    <s v="40.10.3.3.90.39.12.361.0003.2.013.05.282032"/>
    <x v="6"/>
    <x v="5"/>
    <x v="6"/>
    <s v="OUTROS SERVIÇOS DE TERCEIROS -  PESSOA JURÍDICA"/>
    <s v="TRANSFERENCIAS E CONVENIOS FEDERAIS - VINCULADOS"/>
    <n v="117179.38"/>
    <n v="51938.58"/>
    <n v="20633.330000000002"/>
  </r>
  <r>
    <n v="2023"/>
    <n v="7"/>
    <s v="40.10.3.3.90.39.12.361.0003.2.026.01.220000"/>
    <x v="6"/>
    <x v="5"/>
    <x v="6"/>
    <s v="OUTROS SERVIÇOS DE TERCEIROS -  PESSOA JURÍDICA"/>
    <s v="TESOURO"/>
    <n v="938896.58"/>
    <n v="946957.85"/>
    <n v="942981.1"/>
  </r>
  <r>
    <n v="2023"/>
    <n v="7"/>
    <s v="40.10.3.3.90.39.12.361.0003.2.026.02.220013"/>
    <x v="6"/>
    <x v="5"/>
    <x v="6"/>
    <s v="OUTROS SERVIÇOS DE TERCEIROS -  PESSOA JURÍDICA"/>
    <s v="TRANSFERENCIAS E CONVENIOS ESTADUAIS - VINCULADOS"/>
    <n v="315056.65999999997"/>
    <n v="597526.78"/>
    <n v="1576819.7"/>
  </r>
  <r>
    <n v="2023"/>
    <n v="7"/>
    <s v="40.10.3.3.90.39.12.365.0003.2.054.01.212000"/>
    <x v="6"/>
    <x v="5"/>
    <x v="7"/>
    <s v="OUTROS SERVIÇOS DE TERCEIROS -  PESSOA JURÍDICA"/>
    <s v="TESOURO"/>
    <n v="-8840.07"/>
    <n v="1521439.48"/>
    <n v="1559060.1"/>
  </r>
  <r>
    <n v="2023"/>
    <n v="7"/>
    <s v="40.10.3.3.90.39.12.365.0003.2.054.01.213000"/>
    <x v="6"/>
    <x v="5"/>
    <x v="7"/>
    <s v="OUTROS SERVIÇOS DE TERCEIROS -  PESSOA JURÍDICA"/>
    <s v="TESOURO"/>
    <n v="5629.14"/>
    <n v="1794326.84"/>
    <n v="1682151.19"/>
  </r>
  <r>
    <n v="2023"/>
    <n v="7"/>
    <s v="40.10.3.3.90.39.12.365.0003.2.054.05.281032"/>
    <x v="6"/>
    <x v="5"/>
    <x v="7"/>
    <s v="OUTROS SERVIÇOS DE TERCEIROS -  PESSOA JURÍDICA"/>
    <s v="TRANSFERENCIAS E CONVENIOS FEDERAIS - VINCULADOS"/>
    <n v="2056.19"/>
    <n v="0"/>
    <n v="0"/>
  </r>
  <r>
    <n v="2023"/>
    <n v="7"/>
    <s v="40.10.3.3.90.39.12.365.0003.2.054.95.212087"/>
    <x v="6"/>
    <x v="5"/>
    <x v="7"/>
    <s v="OUTROS SERVIÇOS DE TERCEIROS -  PESSOA JURÍDICA"/>
    <s v="TRANSFERENCIAS E CONVENIOS FEDERAIS - VINCULADOS - EXERCÍCIO ANTERIOR"/>
    <n v="49999.48"/>
    <n v="0"/>
    <n v="0"/>
  </r>
  <r>
    <n v="2023"/>
    <n v="7"/>
    <s v="40.10.3.3.90.39.13.392.0003.2.057.01.220108"/>
    <x v="6"/>
    <x v="6"/>
    <x v="11"/>
    <s v="OUTROS SERVIÇOS DE TERCEIROS -  PESSOA JURÍDICA"/>
    <s v="TESOURO"/>
    <n v="3004.09"/>
    <n v="420"/>
    <n v="0"/>
  </r>
  <r>
    <n v="2023"/>
    <n v="7"/>
    <s v="40.10.3.3.90.40.12.361.0003.2.012.01.220000"/>
    <x v="6"/>
    <x v="5"/>
    <x v="6"/>
    <s v="SERVIÇOS DE TECNOLOGIA DA INFORMAÇÃO E COMUNICAÇÃO - PJ"/>
    <s v="TESOURO"/>
    <n v="27390.3"/>
    <n v="1499016.04"/>
    <n v="1549373.68"/>
  </r>
  <r>
    <n v="2023"/>
    <n v="7"/>
    <s v="40.10.3.3.90.40.12.361.0003.2.013.02.220221"/>
    <x v="6"/>
    <x v="5"/>
    <x v="6"/>
    <s v="SERVIÇOS DE TECNOLOGIA DA INFORMAÇÃO E COMUNICAÇÃO - PJ"/>
    <s v="TRANSFERENCIAS E CONVENIOS ESTADUAIS - VINCULADOS"/>
    <n v="0"/>
    <n v="124649.1"/>
    <n v="124649.1"/>
  </r>
  <r>
    <n v="2023"/>
    <n v="7"/>
    <s v="40.10.3.3.90.46.12.122.0003.2.064.01.110000"/>
    <x v="6"/>
    <x v="5"/>
    <x v="0"/>
    <s v="AUXÍLIO ALIMENTAÇÃO"/>
    <s v="TESOURO"/>
    <n v="918"/>
    <n v="918"/>
    <n v="918"/>
  </r>
  <r>
    <n v="2023"/>
    <n v="7"/>
    <s v="40.10.3.3.90.46.12.361.0003.2.012.01.220000"/>
    <x v="6"/>
    <x v="5"/>
    <x v="6"/>
    <s v="AUXÍLIO ALIMENTAÇÃO"/>
    <s v="TESOURO"/>
    <n v="69244.12"/>
    <n v="69244.12"/>
    <n v="69244.12"/>
  </r>
  <r>
    <n v="2023"/>
    <n v="7"/>
    <s v="40.10.3.3.90.46.12.361.0003.2.013.01.220000"/>
    <x v="6"/>
    <x v="5"/>
    <x v="6"/>
    <s v="AUXÍLIO ALIMENTAÇÃO"/>
    <s v="TESOURO"/>
    <n v="963571.28"/>
    <n v="963571.28"/>
    <n v="963571.28"/>
  </r>
  <r>
    <n v="2023"/>
    <n v="7"/>
    <s v="40.10.3.3.90.46.12.361.0003.2.013.02.220221"/>
    <x v="6"/>
    <x v="5"/>
    <x v="6"/>
    <s v="AUXÍLIO ALIMENTAÇÃO"/>
    <s v="TRANSFERENCIAS E CONVENIOS ESTADUAIS - VINCULADOS"/>
    <n v="48627"/>
    <n v="48627"/>
    <n v="48627"/>
  </r>
  <r>
    <n v="2023"/>
    <n v="7"/>
    <s v="40.10.3.3.90.46.12.365.0003.2.054.01.212000"/>
    <x v="6"/>
    <x v="5"/>
    <x v="7"/>
    <s v="AUXÍLIO ALIMENTAÇÃO"/>
    <s v="TESOURO"/>
    <n v="111597.26"/>
    <n v="111597.26"/>
    <n v="111597.26"/>
  </r>
  <r>
    <n v="2023"/>
    <n v="7"/>
    <s v="40.10.3.3.90.46.12.365.0003.2.054.01.213000"/>
    <x v="6"/>
    <x v="5"/>
    <x v="7"/>
    <s v="AUXÍLIO ALIMENTAÇÃO"/>
    <s v="TESOURO"/>
    <n v="1140334.46"/>
    <n v="1140334.46"/>
    <n v="1140334.46"/>
  </r>
  <r>
    <n v="2023"/>
    <n v="7"/>
    <s v="40.10.3.3.90.46.12.367.0003.2.017.01.240000"/>
    <x v="6"/>
    <x v="5"/>
    <x v="8"/>
    <s v="AUXÍLIO ALIMENTAÇÃO"/>
    <s v="TESOURO"/>
    <n v="17388"/>
    <n v="17388"/>
    <n v="17388"/>
  </r>
  <r>
    <n v="2023"/>
    <n v="7"/>
    <s v="40.10.3.3.91.39.12.361.0003.2.013.01.220000"/>
    <x v="6"/>
    <x v="5"/>
    <x v="6"/>
    <s v="OUTROS SERVIÇOS DE TERCEIROS -  PESSOA JURÍDICA - INTRA-ORÇAMENTÁRIO"/>
    <s v="TESOURO"/>
    <n v="0"/>
    <n v="1995338.6"/>
    <n v="1904603.3"/>
  </r>
  <r>
    <n v="2023"/>
    <n v="7"/>
    <s v="40.10.4.4.90.51.12.361.0003.1.015.01.220000"/>
    <x v="6"/>
    <x v="5"/>
    <x v="6"/>
    <s v="OBRAS E INSTALAÇÕES"/>
    <s v="TESOURO"/>
    <n v="0"/>
    <n v="573925.37"/>
    <n v="1114350.02"/>
  </r>
  <r>
    <n v="2023"/>
    <n v="7"/>
    <s v="40.10.4.4.90.51.12.361.0003.1.015.95.282032"/>
    <x v="6"/>
    <x v="5"/>
    <x v="6"/>
    <s v="OBRAS E INSTALAÇÕES"/>
    <s v="TRANSFERENCIAS E CONVENIOS FEDERAIS - VINCULADOS - EXERCÍCIO ANTERIOR"/>
    <n v="1308450.5900000001"/>
    <n v="2871840.03"/>
    <n v="4300845.0199999996"/>
  </r>
  <r>
    <n v="2023"/>
    <n v="7"/>
    <s v="40.10.4.4.90.51.12.365.0003.1.014.01.213000"/>
    <x v="6"/>
    <x v="5"/>
    <x v="7"/>
    <s v="OBRAS E INSTALAÇÕES"/>
    <s v="TESOURO"/>
    <n v="-250000"/>
    <n v="0"/>
    <n v="12234.45"/>
  </r>
  <r>
    <n v="2023"/>
    <n v="7"/>
    <s v="40.10.4.4.90.51.12.365.0003.1.014.95.280032"/>
    <x v="6"/>
    <x v="5"/>
    <x v="7"/>
    <s v="OBRAS E INSTALAÇÕES"/>
    <s v="TRANSFERENCIAS E CONVENIOS FEDERAIS - VINCULADOS - EXERCÍCIO ANTERIOR"/>
    <n v="558344.06999999995"/>
    <n v="0"/>
    <n v="1066910.4099999999"/>
  </r>
  <r>
    <n v="2023"/>
    <n v="7"/>
    <s v="40.10.4.4.90.52.12.306.0003.2.025.05.282032"/>
    <x v="6"/>
    <x v="5"/>
    <x v="9"/>
    <s v="EQUIPAMENTOS E MATERIAL PERMANENTE"/>
    <s v="TRANSFERENCIAS E CONVENIOS FEDERAIS - VINCULADOS"/>
    <n v="0"/>
    <n v="8685.0400000000009"/>
    <n v="17125"/>
  </r>
  <r>
    <n v="2023"/>
    <n v="7"/>
    <s v="40.10.4.4.90.52.12.361.0003.2.013.01.220000"/>
    <x v="6"/>
    <x v="5"/>
    <x v="6"/>
    <s v="EQUIPAMENTOS E MATERIAL PERMANENTE"/>
    <s v="TESOURO"/>
    <n v="102258"/>
    <n v="1105055.27"/>
    <n v="761578.79"/>
  </r>
  <r>
    <n v="2023"/>
    <n v="7"/>
    <s v="40.10.4.4.90.52.12.361.0003.2.013.02.220221"/>
    <x v="6"/>
    <x v="5"/>
    <x v="6"/>
    <s v="EQUIPAMENTOS E MATERIAL PERMANENTE"/>
    <s v="TRANSFERENCIAS E CONVENIOS ESTADUAIS - VINCULADOS"/>
    <n v="0"/>
    <n v="41860"/>
    <n v="1127828"/>
  </r>
  <r>
    <n v="2023"/>
    <n v="7"/>
    <s v="40.10.4.4.90.52.12.361.0003.2.013.95.282032"/>
    <x v="6"/>
    <x v="5"/>
    <x v="6"/>
    <s v="EQUIPAMENTOS E MATERIAL PERMANENTE"/>
    <s v="TRANSFERENCIAS E CONVENIOS FEDERAIS - VINCULADOS - EXERCÍCIO ANTERIOR"/>
    <n v="95986"/>
    <n v="2296914.89"/>
    <n v="1535882.33"/>
  </r>
  <r>
    <n v="2023"/>
    <n v="7"/>
    <s v="40.10.4.4.90.52.12.365.0003.2.054.05.281032"/>
    <x v="6"/>
    <x v="5"/>
    <x v="7"/>
    <s v="EQUIPAMENTOS E MATERIAL PERMANENTE"/>
    <s v="TRANSFERENCIAS E CONVENIOS FEDERAIS - VINCULADOS"/>
    <n v="0"/>
    <n v="0"/>
    <n v="10600"/>
  </r>
  <r>
    <n v="2023"/>
    <n v="7"/>
    <s v="40.10.4.4.90.52.12.365.0003.2.054.95.281032"/>
    <x v="6"/>
    <x v="5"/>
    <x v="7"/>
    <s v="EQUIPAMENTOS E MATERIAL PERMANENTE"/>
    <s v="TRANSFERENCIAS E CONVENIOS FEDERAIS - VINCULADOS - EXERCÍCIO ANTERIOR"/>
    <n v="0"/>
    <n v="97362.27"/>
    <n v="109999.8"/>
  </r>
  <r>
    <n v="2023"/>
    <n v="7"/>
    <s v="40.10.4.4.90.52.13.392.0003.2.057.01.220108"/>
    <x v="6"/>
    <x v="6"/>
    <x v="11"/>
    <s v="EQUIPAMENTOS E MATERIAL PERMANENTE"/>
    <s v="TESOURO"/>
    <n v="0"/>
    <n v="0"/>
    <n v="563.32000000000005"/>
  </r>
  <r>
    <n v="2023"/>
    <n v="7"/>
    <s v="40.20.3.1.90.04.12.361.0003.2.021.02.261000"/>
    <x v="6"/>
    <x v="5"/>
    <x v="6"/>
    <s v="CONTRATAÇÃO POR TEMPO DETERMINADO"/>
    <s v="TRANSFERENCIAS E CONVENIOS ESTADUAIS - VINCULADOS"/>
    <n v="2548525.62"/>
    <n v="2548525.62"/>
    <n v="2548525.62"/>
  </r>
  <r>
    <n v="2023"/>
    <n v="7"/>
    <s v="40.20.3.1.90.04.12.365.0003.2.022.02.272000"/>
    <x v="6"/>
    <x v="5"/>
    <x v="7"/>
    <s v="CONTRATAÇÃO POR TEMPO DETERMINADO"/>
    <s v="TRANSFERENCIAS E CONVENIOS ESTADUAIS - VINCULADOS"/>
    <n v="2355090.46"/>
    <n v="2355090.46"/>
    <n v="2355090.46"/>
  </r>
  <r>
    <n v="2023"/>
    <n v="7"/>
    <s v="40.20.3.1.90.04.12.365.0003.2.023.02.271000"/>
    <x v="6"/>
    <x v="5"/>
    <x v="7"/>
    <s v="CONTRATAÇÃO POR TEMPO DETERMINADO"/>
    <s v="TRANSFERENCIAS E CONVENIOS ESTADUAIS - VINCULADOS"/>
    <n v="56017.52"/>
    <n v="56017.52"/>
    <n v="56017.52"/>
  </r>
  <r>
    <n v="2023"/>
    <n v="7"/>
    <s v="40.20.3.1.90.11.12.361.0003.2.021.02.261000"/>
    <x v="6"/>
    <x v="5"/>
    <x v="6"/>
    <s v="VENCIMENTOS E VANTAGENS FIXAS -  PESSOAL CIVIL"/>
    <s v="TRANSFERENCIAS E CONVENIOS ESTADUAIS - VINCULADOS"/>
    <n v="12360620.800000001"/>
    <n v="12360620.800000001"/>
    <n v="12395386.82"/>
  </r>
  <r>
    <n v="2023"/>
    <n v="7"/>
    <s v="40.20.3.1.90.11.12.361.0003.2.067.02.261000"/>
    <x v="6"/>
    <x v="5"/>
    <x v="6"/>
    <s v="VENCIMENTOS E VANTAGENS FIXAS -  PESSOAL CIVIL"/>
    <s v="TRANSFERENCIAS E CONVENIOS ESTADUAIS - VINCULADOS"/>
    <n v="579871.47"/>
    <n v="579871.47"/>
    <n v="583045.26"/>
  </r>
  <r>
    <n v="2023"/>
    <n v="7"/>
    <s v="40.20.3.1.90.11.12.365.0003.2.022.02.272000"/>
    <x v="6"/>
    <x v="5"/>
    <x v="7"/>
    <s v="VENCIMENTOS E VANTAGENS FIXAS -  PESSOAL CIVIL"/>
    <s v="TRANSFERENCIAS E CONVENIOS ESTADUAIS - VINCULADOS"/>
    <n v="9144996.7100000009"/>
    <n v="9144996.7100000009"/>
    <n v="9179214.6899999995"/>
  </r>
  <r>
    <n v="2023"/>
    <n v="7"/>
    <s v="40.20.3.1.90.11.12.365.0003.2.023.02.271000"/>
    <x v="6"/>
    <x v="5"/>
    <x v="7"/>
    <s v="VENCIMENTOS E VANTAGENS FIXAS -  PESSOAL CIVIL"/>
    <s v="TRANSFERENCIAS E CONVENIOS ESTADUAIS - VINCULADOS"/>
    <n v="917061.55"/>
    <n v="917061.55"/>
    <n v="917061.55"/>
  </r>
  <r>
    <n v="2023"/>
    <n v="7"/>
    <s v="40.20.3.1.90.11.12.367.0003.2.061.02.261000"/>
    <x v="6"/>
    <x v="5"/>
    <x v="8"/>
    <s v="VENCIMENTOS E VANTAGENS FIXAS -  PESSOAL CIVIL"/>
    <s v="TRANSFERENCIAS E CONVENIOS ESTADUAIS - VINCULADOS"/>
    <n v="314609.42"/>
    <n v="314609.42"/>
    <n v="314609.42"/>
  </r>
  <r>
    <n v="2023"/>
    <n v="7"/>
    <s v="40.20.3.1.90.13.12.361.0003.2.021.02.261000"/>
    <x v="6"/>
    <x v="5"/>
    <x v="6"/>
    <s v="OBRIGAÇÕES PATRONAIS"/>
    <s v="TRANSFERENCIAS E CONVENIOS ESTADUAIS - VINCULADOS"/>
    <n v="627205.15"/>
    <n v="627205.15"/>
    <n v="627205.15"/>
  </r>
  <r>
    <n v="2023"/>
    <n v="7"/>
    <s v="40.20.3.1.90.13.12.365.0003.2.022.02.272000"/>
    <x v="6"/>
    <x v="5"/>
    <x v="7"/>
    <s v="OBRIGAÇÕES PATRONAIS"/>
    <s v="TRANSFERENCIAS E CONVENIOS ESTADUAIS - VINCULADOS"/>
    <n v="567353.86"/>
    <n v="567353.86"/>
    <n v="567353.86"/>
  </r>
  <r>
    <n v="2023"/>
    <n v="7"/>
    <s v="40.20.3.1.90.13.12.365.0003.2.023.02.271000"/>
    <x v="6"/>
    <x v="5"/>
    <x v="7"/>
    <s v="OBRIGAÇÕES PATRONAIS"/>
    <s v="TRANSFERENCIAS E CONVENIOS ESTADUAIS - VINCULADOS"/>
    <n v="13842.62"/>
    <n v="13842.62"/>
    <n v="13842.62"/>
  </r>
  <r>
    <n v="2023"/>
    <n v="7"/>
    <s v="40.20.3.1.90.16.12.361.0003.2.021.02.261000"/>
    <x v="6"/>
    <x v="5"/>
    <x v="6"/>
    <s v="OUTRAS DESPESAS VARIÁVEIS - PESSOAL CIVIL"/>
    <s v="TRANSFERENCIAS E CONVENIOS ESTADUAIS - VINCULADOS"/>
    <n v="821839.79"/>
    <n v="821839.79"/>
    <n v="821839.79"/>
  </r>
  <r>
    <n v="2023"/>
    <n v="7"/>
    <s v="40.20.3.1.90.16.12.361.0003.2.067.02.261000"/>
    <x v="6"/>
    <x v="5"/>
    <x v="6"/>
    <s v="OUTRAS DESPESAS VARIÁVEIS - PESSOAL CIVIL"/>
    <s v="TRANSFERENCIAS E CONVENIOS ESTADUAIS - VINCULADOS"/>
    <n v="4928.5600000000004"/>
    <n v="4928.5600000000004"/>
    <n v="4928.5600000000004"/>
  </r>
  <r>
    <n v="2023"/>
    <n v="7"/>
    <s v="40.20.3.1.90.16.12.365.0003.2.022.02.272000"/>
    <x v="6"/>
    <x v="5"/>
    <x v="7"/>
    <s v="OUTRAS DESPESAS VARIÁVEIS - PESSOAL CIVIL"/>
    <s v="TRANSFERENCIAS E CONVENIOS ESTADUAIS - VINCULADOS"/>
    <n v="177957.79"/>
    <n v="177957.79"/>
    <n v="177957.79"/>
  </r>
  <r>
    <n v="2023"/>
    <n v="7"/>
    <s v="40.20.3.1.90.16.12.365.0003.2.023.02.271000"/>
    <x v="6"/>
    <x v="5"/>
    <x v="7"/>
    <s v="OUTRAS DESPESAS VARIÁVEIS - PESSOAL CIVIL"/>
    <s v="TRANSFERENCIAS E CONVENIOS ESTADUAIS - VINCULADOS"/>
    <n v="7522.4"/>
    <n v="7522.4"/>
    <n v="7522.4"/>
  </r>
  <r>
    <n v="2023"/>
    <n v="7"/>
    <s v="40.20.3.1.90.16.12.367.0003.2.061.02.261000"/>
    <x v="6"/>
    <x v="5"/>
    <x v="8"/>
    <s v="OUTRAS DESPESAS VARIÁVEIS - PESSOAL CIVIL"/>
    <s v="TRANSFERENCIAS E CONVENIOS ESTADUAIS - VINCULADOS"/>
    <n v="4289.8"/>
    <n v="4289.8"/>
    <n v="4289.8"/>
  </r>
  <r>
    <n v="2023"/>
    <n v="7"/>
    <s v="40.20.3.1.90.94.12.361.0003.2.021.02.261000"/>
    <x v="6"/>
    <x v="5"/>
    <x v="6"/>
    <s v="INDENIZAÇÕES E RESTITUIÇÕES TRABALHISTAS"/>
    <s v="TRANSFERENCIAS E CONVENIOS ESTADUAIS - VINCULADOS"/>
    <n v="166667.68"/>
    <n v="166667.68"/>
    <n v="152628.93"/>
  </r>
  <r>
    <n v="2023"/>
    <n v="7"/>
    <s v="40.20.3.1.90.94.12.365.0003.2.022.02.272000"/>
    <x v="6"/>
    <x v="5"/>
    <x v="7"/>
    <s v="INDENIZAÇÕES E RESTITUIÇÕES TRABALHISTAS"/>
    <s v="TRANSFERENCIAS E CONVENIOS ESTADUAIS - VINCULADOS"/>
    <n v="58333.48"/>
    <n v="58333.48"/>
    <n v="39909.21"/>
  </r>
  <r>
    <n v="2023"/>
    <n v="7"/>
    <s v="40.20.3.1.91.13.12.361.0003.2.021.02.261000"/>
    <x v="6"/>
    <x v="5"/>
    <x v="6"/>
    <s v="OBRIGAÇÕES PATRONAIS"/>
    <s v="TRANSFERENCIAS E CONVENIOS ESTADUAIS - VINCULADOS"/>
    <n v="3978482.72"/>
    <n v="3978482.72"/>
    <n v="3978482.72"/>
  </r>
  <r>
    <n v="2023"/>
    <n v="7"/>
    <s v="40.20.3.1.91.13.12.361.0003.2.067.02.261000"/>
    <x v="6"/>
    <x v="5"/>
    <x v="6"/>
    <s v="OBRIGAÇÕES PATRONAIS"/>
    <s v="TRANSFERENCIAS E CONVENIOS ESTADUAIS - VINCULADOS"/>
    <n v="175574.73"/>
    <n v="175574.73"/>
    <n v="175574.73"/>
  </r>
  <r>
    <n v="2023"/>
    <n v="7"/>
    <s v="40.20.3.1.91.13.12.365.0003.2.022.02.272000"/>
    <x v="6"/>
    <x v="5"/>
    <x v="7"/>
    <s v="OBRIGAÇÕES PATRONAIS"/>
    <s v="TRANSFERENCIAS E CONVENIOS ESTADUAIS - VINCULADOS"/>
    <n v="2999399.54"/>
    <n v="2999399.54"/>
    <n v="2999399.54"/>
  </r>
  <r>
    <n v="2023"/>
    <n v="7"/>
    <s v="40.20.3.1.91.13.12.365.0003.2.023.02.271000"/>
    <x v="6"/>
    <x v="5"/>
    <x v="7"/>
    <s v="OBRIGAÇÕES PATRONAIS"/>
    <s v="TRANSFERENCIAS E CONVENIOS ESTADUAIS - VINCULADOS"/>
    <n v="322772.28999999998"/>
    <n v="322772.28999999998"/>
    <n v="322772.28999999998"/>
  </r>
  <r>
    <n v="2023"/>
    <n v="7"/>
    <s v="40.20.3.1.91.13.12.367.0003.2.061.02.261000"/>
    <x v="6"/>
    <x v="5"/>
    <x v="8"/>
    <s v="OBRIGAÇÕES PATRONAIS"/>
    <s v="TRANSFERENCIAS E CONVENIOS ESTADUAIS - VINCULADOS"/>
    <n v="91999.78"/>
    <n v="91999.78"/>
    <n v="91999.78"/>
  </r>
  <r>
    <n v="2023"/>
    <n v="7"/>
    <s v="40.20.3.3.90.30.12.367.0003.2.061.02.262000"/>
    <x v="6"/>
    <x v="5"/>
    <x v="8"/>
    <s v="MATERIAL DE CONSUMO"/>
    <s v="TRANSFERENCIAS E CONVENIOS ESTADUAIS - VINCULADOS"/>
    <n v="8577.5"/>
    <n v="0"/>
    <n v="0"/>
  </r>
  <r>
    <n v="2023"/>
    <n v="7"/>
    <s v="40.20.3.3.90.37.12.361.0003.2.021.02.262000"/>
    <x v="6"/>
    <x v="5"/>
    <x v="6"/>
    <s v="LOCAÇÃO DE MÃO-DE-OBRA"/>
    <s v="TRANSFERENCIAS E CONVENIOS ESTADUAIS - VINCULADOS"/>
    <n v="0"/>
    <n v="113661.29"/>
    <n v="227486.04"/>
  </r>
  <r>
    <n v="2023"/>
    <n v="7"/>
    <s v="40.20.3.3.90.40.12.361.0003.2.021.02.262000"/>
    <x v="6"/>
    <x v="5"/>
    <x v="6"/>
    <s v="SERVIÇOS DE TECNOLOGIA DA INFORMAÇÃO E COMUNICAÇÃO - PJ"/>
    <s v="TRANSFERENCIAS E CONVENIOS ESTADUAIS - VINCULADOS"/>
    <n v="0"/>
    <n v="27900"/>
    <n v="55800"/>
  </r>
  <r>
    <n v="2023"/>
    <n v="7"/>
    <s v="40.20.4.4.90.51.12.361.0003.1.015.02.262000"/>
    <x v="6"/>
    <x v="5"/>
    <x v="6"/>
    <s v="OBRAS E INSTALAÇÕES"/>
    <s v="TRANSFERENCIAS E CONVENIOS ESTADUAIS - VINCULADOS"/>
    <n v="1"/>
    <n v="0"/>
    <n v="0"/>
  </r>
  <r>
    <n v="2023"/>
    <n v="7"/>
    <s v="40.20.4.4.90.51.12.365.0003.1.014.02.273000"/>
    <x v="6"/>
    <x v="5"/>
    <x v="7"/>
    <s v="OBRAS E INSTALAÇÕES"/>
    <s v="TRANSFERENCIAS E CONVENIOS ESTADUAIS - VINCULADOS"/>
    <n v="0"/>
    <n v="0"/>
    <n v="145630.15"/>
  </r>
  <r>
    <n v="2023"/>
    <n v="7"/>
    <s v="40.20.4.4.90.52.12.361.0003.2.021.02.262000"/>
    <x v="6"/>
    <x v="5"/>
    <x v="6"/>
    <s v="EQUIPAMENTOS E MATERIAL PERMANENTE"/>
    <s v="TRANSFERENCIAS E CONVENIOS ESTADUAIS - VINCULADOS"/>
    <n v="388102"/>
    <n v="325910"/>
    <n v="0"/>
  </r>
  <r>
    <n v="2023"/>
    <n v="7"/>
    <s v="40.20.4.4.90.52.12.365.0003.2.022.02.274000"/>
    <x v="6"/>
    <x v="5"/>
    <x v="7"/>
    <s v="EQUIPAMENTOS E MATERIAL PERMANENTE"/>
    <s v="TRANSFERENCIAS E CONVENIOS ESTADUAIS - VINCULADOS"/>
    <n v="0"/>
    <n v="213399.11"/>
    <n v="137199.10999999999"/>
  </r>
  <r>
    <n v="2023"/>
    <n v="7"/>
    <s v="45.10.3.1.90.11.27.812.0004.2.002.01.110000"/>
    <x v="7"/>
    <x v="1"/>
    <x v="12"/>
    <s v="VENCIMENTOS E VANTAGENS FIXAS -  PESSOAL CIVIL"/>
    <s v="TESOURO"/>
    <n v="612508.48"/>
    <n v="612508.48"/>
    <n v="612508.48"/>
  </r>
  <r>
    <n v="2023"/>
    <n v="7"/>
    <s v="45.10.3.3.50.39.27.812.0004.2.029.01.110000"/>
    <x v="7"/>
    <x v="1"/>
    <x v="12"/>
    <s v="OUTROS SERVIÇOS DE TERCEIROS -PESSOA JURÍDICA"/>
    <s v="TESOURO"/>
    <n v="0"/>
    <n v="14005.08"/>
    <n v="104918.67"/>
  </r>
  <r>
    <n v="2023"/>
    <n v="7"/>
    <s v="45.10.3.3.50.39.27.812.0004.2.029.92.100223"/>
    <x v="7"/>
    <x v="1"/>
    <x v="12"/>
    <s v="OUTROS SERVIÇOS DE TERCEIROS -PESSOA JURÍDICA"/>
    <s v="TRANSFERENCIAS E CONVENIOS ESTADUAIS - VINCULADOS - EXERCÍCIO ANTERIOR"/>
    <n v="0"/>
    <n v="12910"/>
    <n v="0"/>
  </r>
  <r>
    <n v="2023"/>
    <n v="7"/>
    <s v="45.10.3.3.50.39.27.812.0004.2.029.95.100204"/>
    <x v="7"/>
    <x v="1"/>
    <x v="12"/>
    <s v="OUTROS SERVIÇOS DE TERCEIROS -PESSOA JURÍDICA"/>
    <s v="TRANSFERENCIAS E CONVENIOS FEDERAIS - VINCULADOS - EXERCÍCIO ANTERIOR"/>
    <n v="0"/>
    <n v="77598.92"/>
    <n v="77598.92"/>
  </r>
  <r>
    <n v="2023"/>
    <n v="7"/>
    <s v="45.10.3.3.50.85.27.812.0004.2.029.01.110000"/>
    <x v="7"/>
    <x v="1"/>
    <x v="12"/>
    <s v="CONTRATO DE GESTÃO-"/>
    <s v="TESOURO"/>
    <n v="0"/>
    <n v="4237959.51"/>
    <n v="2165037.23"/>
  </r>
  <r>
    <n v="2023"/>
    <n v="7"/>
    <s v="45.10.3.3.90.30.27.812.0004.2.029.01.110000"/>
    <x v="7"/>
    <x v="1"/>
    <x v="12"/>
    <s v="MATERIAL DE CONSUMO"/>
    <s v="TESOURO"/>
    <n v="162954.91"/>
    <n v="67606.84"/>
    <n v="87381.25"/>
  </r>
  <r>
    <n v="2023"/>
    <n v="7"/>
    <s v="45.10.3.3.90.30.27.812.0004.2.063.01.110000"/>
    <x v="7"/>
    <x v="1"/>
    <x v="12"/>
    <s v="MATERIAL DE CONSUMO"/>
    <s v="TESOURO"/>
    <n v="0"/>
    <n v="6854.6"/>
    <n v="0"/>
  </r>
  <r>
    <n v="2023"/>
    <n v="7"/>
    <s v="45.10.3.3.90.36.27.812.0004.2.002.01.110000"/>
    <x v="7"/>
    <x v="1"/>
    <x v="12"/>
    <s v="OUTROS SERVIÇOS DE TERCEIROS - PESSOA FÍSICA"/>
    <s v="TESOURO"/>
    <n v="9898.59"/>
    <n v="9898.59"/>
    <n v="9898.59"/>
  </r>
  <r>
    <n v="2023"/>
    <n v="7"/>
    <s v="45.10.3.3.90.36.27.812.0004.2.029.01.110000"/>
    <x v="7"/>
    <x v="1"/>
    <x v="12"/>
    <s v="OUTROS SERVIÇOS DE TERCEIROS - PESSOA FÍSICA"/>
    <s v="TESOURO"/>
    <n v="133483.35"/>
    <n v="123523.35"/>
    <n v="127254.7"/>
  </r>
  <r>
    <n v="2023"/>
    <n v="7"/>
    <s v="45.10.3.3.90.39.27.812.0004.2.002.01.110000"/>
    <x v="7"/>
    <x v="1"/>
    <x v="12"/>
    <s v="OUTROS SERVIÇOS DE TERCEIROS -  PESSOA JURÍDICA"/>
    <s v="TESOURO"/>
    <n v="78989.98"/>
    <n v="43676.67"/>
    <n v="43143.67"/>
  </r>
  <r>
    <n v="2023"/>
    <n v="7"/>
    <s v="45.10.3.3.90.39.27.812.0004.2.029.01.110000"/>
    <x v="7"/>
    <x v="1"/>
    <x v="12"/>
    <s v="OUTROS SERVIÇOS DE TERCEIROS -  PESSOA JURÍDICA"/>
    <s v="TESOURO"/>
    <n v="455535.65"/>
    <n v="418310.53"/>
    <n v="234744.23"/>
  </r>
  <r>
    <n v="2023"/>
    <n v="7"/>
    <s v="45.10.3.3.90.39.27.812.0004.2.029.03.100195"/>
    <x v="7"/>
    <x v="1"/>
    <x v="12"/>
    <s v="OUTROS SERVIÇOS DE TERCEIROS -  PESSOA JURÍDICA"/>
    <s v="RECURSOS PROPRIOS DE FUNDOS ESPECIAIS DE DESPESA - VINCULADOS"/>
    <n v="-27.9"/>
    <n v="986137.21"/>
    <n v="931131.05"/>
  </r>
  <r>
    <n v="2023"/>
    <n v="7"/>
    <s v="45.10.3.3.90.39.27.812.0004.2.063.01.110000"/>
    <x v="7"/>
    <x v="1"/>
    <x v="12"/>
    <s v="OUTROS SERVIÇOS DE TERCEIROS -  PESSOA JURÍDICA"/>
    <s v="TESOURO"/>
    <n v="557820"/>
    <n v="417294.45"/>
    <n v="635633.51"/>
  </r>
  <r>
    <n v="2023"/>
    <n v="7"/>
    <s v="45.10.3.3.90.48.27.812.0004.2.029.03.100195"/>
    <x v="7"/>
    <x v="1"/>
    <x v="12"/>
    <s v="OUTROS AUXÍLIOS FINANCEIROS A PESSOA FÍSICA"/>
    <s v="RECURSOS PROPRIOS DE FUNDOS ESPECIAIS DE DESPESA - VINCULADOS"/>
    <n v="2532.12"/>
    <n v="80190.58"/>
    <n v="69334.759999999995"/>
  </r>
  <r>
    <n v="2023"/>
    <n v="7"/>
    <s v="45.10.3.3.90.48.27.812.0004.2.063.01.110000"/>
    <x v="7"/>
    <x v="1"/>
    <x v="12"/>
    <s v="OUTROS AUXÍLIOS FINANCEIROS A PESSOA FÍSICA"/>
    <s v="TESOURO"/>
    <n v="0"/>
    <n v="0"/>
    <n v="628669.25"/>
  </r>
  <r>
    <n v="2023"/>
    <n v="7"/>
    <s v="45.10.4.4.90.51.27.812.0004.2.029.01.110000"/>
    <x v="7"/>
    <x v="1"/>
    <x v="12"/>
    <s v="OBRAS E INSTALAÇÕES"/>
    <s v="TESOURO"/>
    <n v="0"/>
    <n v="349423.62"/>
    <n v="508575.82"/>
  </r>
  <r>
    <n v="2023"/>
    <n v="7"/>
    <s v="45.10.4.4.90.51.27.812.0004.2.029.91.110000"/>
    <x v="7"/>
    <x v="1"/>
    <x v="12"/>
    <s v="OBRAS E INSTALAÇÕES"/>
    <s v="TESOURO - EXERCÍCIO ANTERIOR"/>
    <n v="42964.9"/>
    <n v="0"/>
    <n v="0"/>
  </r>
  <r>
    <n v="2023"/>
    <n v="7"/>
    <s v="45.10.4.4.90.52.27.812.0004.2.002.01.110000"/>
    <x v="7"/>
    <x v="1"/>
    <x v="12"/>
    <s v="EQUIPAMENTOS E MATERIAL PERMANENTE"/>
    <s v="TESOURO"/>
    <n v="115700"/>
    <n v="20558.73"/>
    <n v="20780.25"/>
  </r>
  <r>
    <n v="2023"/>
    <n v="7"/>
    <s v="45.10.4.4.90.52.27.812.0004.2.063.01.110000"/>
    <x v="7"/>
    <x v="1"/>
    <x v="12"/>
    <s v="EQUIPAMENTOS E MATERIAL PERMANENTE"/>
    <s v="TESOURO"/>
    <n v="0"/>
    <n v="0"/>
    <n v="29050"/>
  </r>
  <r>
    <n v="2023"/>
    <n v="7"/>
    <s v="50.10.3.1.90.11.08.244.0005.2.002.01.510000"/>
    <x v="8"/>
    <x v="7"/>
    <x v="13"/>
    <s v="VENCIMENTOS E VANTAGENS FIXAS -  PESSOAL CIVIL"/>
    <s v="TESOURO"/>
    <n v="837228.66"/>
    <n v="837228.66"/>
    <n v="837228.66"/>
  </r>
  <r>
    <n v="2023"/>
    <n v="7"/>
    <s v="50.10.3.3.50.39.08.243.0005.2.066.01.510000"/>
    <x v="8"/>
    <x v="7"/>
    <x v="14"/>
    <s v="OUTROS SERVIÇOS DE TERCEIROS -PESSOA JURÍDICA"/>
    <s v="TESOURO"/>
    <n v="-55656.26"/>
    <n v="803506.79"/>
    <n v="795213.26"/>
  </r>
  <r>
    <n v="2023"/>
    <n v="7"/>
    <s v="50.10.3.3.50.39.08.243.0005.2.066.03.500193"/>
    <x v="8"/>
    <x v="7"/>
    <x v="14"/>
    <s v="OUTROS SERVIÇOS DE TERCEIROS -PESSOA JURÍDICA"/>
    <s v="RECURSOS PROPRIOS DE FUNDOS ESPECIAIS DE DESPESA - VINCULADOS"/>
    <n v="-80548.45"/>
    <n v="0"/>
    <n v="27215.279999999999"/>
  </r>
  <r>
    <n v="2023"/>
    <n v="7"/>
    <s v="50.10.3.3.50.39.08.244.0005.2.031.01.510000"/>
    <x v="8"/>
    <x v="7"/>
    <x v="13"/>
    <s v="OUTROS SERVIÇOS DE TERCEIROS -PESSOA JURÍDICA"/>
    <s v="TESOURO"/>
    <n v="3685335.95"/>
    <n v="4996328.08"/>
    <n v="4607217.68"/>
  </r>
  <r>
    <n v="2023"/>
    <n v="7"/>
    <s v="50.10.3.3.50.39.08.244.0005.2.031.02.500041"/>
    <x v="8"/>
    <x v="7"/>
    <x v="13"/>
    <s v="OUTROS SERVIÇOS DE TERCEIROS -PESSOA JURÍDICA"/>
    <s v="TRANSFERENCIAS E CONVENIOS ESTADUAIS - VINCULADOS"/>
    <n v="0"/>
    <n v="226410.26"/>
    <n v="226410.26"/>
  </r>
  <r>
    <n v="2023"/>
    <n v="7"/>
    <s v="50.10.3.3.90.30.08.243.0005.2.066.01.510000"/>
    <x v="8"/>
    <x v="7"/>
    <x v="14"/>
    <s v="MATERIAL DE CONSUMO"/>
    <s v="TESOURO"/>
    <n v="0"/>
    <n v="0"/>
    <n v="374.75"/>
  </r>
  <r>
    <n v="2023"/>
    <n v="7"/>
    <s v="50.10.3.3.90.30.08.244.0005.2.002.01.510000"/>
    <x v="8"/>
    <x v="7"/>
    <x v="13"/>
    <s v="MATERIAL DE CONSUMO"/>
    <s v="TESOURO"/>
    <n v="6671.8"/>
    <n v="8836.2800000000007"/>
    <n v="5509.4"/>
  </r>
  <r>
    <n v="2023"/>
    <n v="7"/>
    <s v="50.10.3.3.90.30.08.244.0005.2.031.01.510000"/>
    <x v="8"/>
    <x v="7"/>
    <x v="13"/>
    <s v="MATERIAL DE CONSUMO"/>
    <s v="TESOURO"/>
    <n v="0"/>
    <n v="19174.78"/>
    <n v="33872.160000000003"/>
  </r>
  <r>
    <n v="2023"/>
    <n v="7"/>
    <s v="50.10.3.3.90.30.08.244.0005.2.031.05.500042"/>
    <x v="8"/>
    <x v="7"/>
    <x v="13"/>
    <s v="MATERIAL DE CONSUMO"/>
    <s v="TRANSFERENCIAS E CONVENIOS FEDERAIS - VINCULADOS"/>
    <n v="690"/>
    <n v="4850"/>
    <n v="4850"/>
  </r>
  <r>
    <n v="2023"/>
    <n v="7"/>
    <s v="50.10.3.3.90.32.08.244.0005.2.031.01.510000"/>
    <x v="8"/>
    <x v="7"/>
    <x v="13"/>
    <s v="MATERIAL, BEM OU SERVIÇO PARA DISTRIBUIÇÃO GRATUITA"/>
    <s v="TESOURO"/>
    <n v="-4000"/>
    <n v="31000"/>
    <n v="61451.199999999997"/>
  </r>
  <r>
    <n v="2023"/>
    <n v="7"/>
    <s v="50.10.3.3.90.36.08.243.0005.2.066.01.510000"/>
    <x v="8"/>
    <x v="7"/>
    <x v="14"/>
    <s v="OUTROS SERVIÇOS DE TERCEIROS - PESSOA FÍSICA"/>
    <s v="TESOURO"/>
    <n v="137804.09"/>
    <n v="137804.09"/>
    <n v="139379"/>
  </r>
  <r>
    <n v="2023"/>
    <n v="7"/>
    <s v="50.10.3.3.90.36.08.244.0005.2.002.01.510000"/>
    <x v="8"/>
    <x v="7"/>
    <x v="13"/>
    <s v="OUTROS SERVIÇOS DE TERCEIROS - PESSOA FÍSICA"/>
    <s v="TESOURO"/>
    <n v="12786.21"/>
    <n v="12786.21"/>
    <n v="12786.21"/>
  </r>
  <r>
    <n v="2023"/>
    <n v="7"/>
    <s v="50.10.3.3.90.36.08.244.0005.2.031.01.510000"/>
    <x v="8"/>
    <x v="7"/>
    <x v="13"/>
    <s v="OUTROS SERVIÇOS DE TERCEIROS - PESSOA FÍSICA"/>
    <s v="TESOURO"/>
    <n v="6000"/>
    <n v="9443.7000000000007"/>
    <n v="9443.7000000000007"/>
  </r>
  <r>
    <n v="2023"/>
    <n v="7"/>
    <s v="50.10.3.3.90.36.08.244.0005.2.031.05.500042"/>
    <x v="8"/>
    <x v="7"/>
    <x v="13"/>
    <s v="OUTROS SERVIÇOS DE TERCEIROS - PESSOA FÍSICA"/>
    <s v="TRANSFERENCIAS E CONVENIOS FEDERAIS - VINCULADOS"/>
    <n v="60000"/>
    <n v="68860.490000000005"/>
    <n v="61860.49"/>
  </r>
  <r>
    <n v="2023"/>
    <n v="7"/>
    <s v="50.10.3.3.90.39.08.243.0005.2.066.01.510000"/>
    <x v="8"/>
    <x v="7"/>
    <x v="14"/>
    <s v="OUTROS SERVIÇOS DE TERCEIROS -  PESSOA JURÍDICA"/>
    <s v="TESOURO"/>
    <n v="27560.82"/>
    <n v="98039.35"/>
    <n v="127556.17"/>
  </r>
  <r>
    <n v="2023"/>
    <n v="7"/>
    <s v="50.10.3.3.90.39.08.243.0005.2.066.03.500193"/>
    <x v="8"/>
    <x v="7"/>
    <x v="14"/>
    <s v="OUTROS SERVIÇOS DE TERCEIROS -  PESSOA JURÍDICA"/>
    <s v="RECURSOS PROPRIOS DE FUNDOS ESPECIAIS DE DESPESA - VINCULADOS"/>
    <n v="7000"/>
    <n v="650"/>
    <n v="1300"/>
  </r>
  <r>
    <n v="2023"/>
    <n v="7"/>
    <s v="50.10.3.3.90.39.08.244.0005.2.002.01.510000"/>
    <x v="8"/>
    <x v="7"/>
    <x v="13"/>
    <s v="OUTROS SERVIÇOS DE TERCEIROS -  PESSOA JURÍDICA"/>
    <s v="TESOURO"/>
    <n v="49322.33"/>
    <n v="151606.10999999999"/>
    <n v="201506.82"/>
  </r>
  <r>
    <n v="2023"/>
    <n v="7"/>
    <s v="50.10.3.3.90.39.08.244.0005.2.031.01.510000"/>
    <x v="8"/>
    <x v="7"/>
    <x v="13"/>
    <s v="OUTROS SERVIÇOS DE TERCEIROS -  PESSOA JURÍDICA"/>
    <s v="TESOURO"/>
    <n v="118079.24"/>
    <n v="56711.99"/>
    <n v="61620.49"/>
  </r>
  <r>
    <n v="2023"/>
    <n v="7"/>
    <s v="50.10.3.3.90.39.08.244.0005.2.031.05.500042"/>
    <x v="8"/>
    <x v="7"/>
    <x v="13"/>
    <s v="OUTROS SERVIÇOS DE TERCEIROS -  PESSOA JURÍDICA"/>
    <s v="TRANSFERENCIAS E CONVENIOS FEDERAIS - VINCULADOS"/>
    <n v="11500"/>
    <n v="45819.839999999997"/>
    <n v="171952.53"/>
  </r>
  <r>
    <n v="2023"/>
    <n v="7"/>
    <s v="50.10.3.3.90.39.08.244.0005.2.031.92.500041"/>
    <x v="8"/>
    <x v="7"/>
    <x v="13"/>
    <s v="OUTROS SERVIÇOS DE TERCEIROS -  PESSOA JURÍDICA"/>
    <s v="TRANSFERENCIAS E CONVENIOS ESTADUAIS - VINCULADOS - EXERCÍCIO ANTERIOR"/>
    <n v="0"/>
    <n v="0"/>
    <n v="17100.560000000001"/>
  </r>
  <r>
    <n v="2023"/>
    <n v="7"/>
    <s v="50.10.3.3.90.40.08.244.0005.2.031.01.510000"/>
    <x v="8"/>
    <x v="7"/>
    <x v="13"/>
    <s v="SERVIÇOS DE TECNOLOGIA DA INFORMAÇÃO E COMUNICAÇÃO - PJ"/>
    <s v="TESOURO"/>
    <n v="0"/>
    <n v="0"/>
    <n v="25920"/>
  </r>
  <r>
    <n v="2023"/>
    <n v="7"/>
    <s v="50.10.3.3.90.48.08.243.0005.2.066.01.500194"/>
    <x v="8"/>
    <x v="7"/>
    <x v="14"/>
    <s v="OUTROS AUXÍLIOS FINANCEIROS A PESSOA FÍSICA"/>
    <s v="TESOURO"/>
    <n v="13900"/>
    <n v="13900"/>
    <n v="13900"/>
  </r>
  <r>
    <n v="2023"/>
    <n v="7"/>
    <s v="50.10.3.3.90.48.08.244.0005.2.031.01.510000"/>
    <x v="8"/>
    <x v="7"/>
    <x v="13"/>
    <s v="OUTROS AUXÍLIOS FINANCEIROS A PESSOA FÍSICA"/>
    <s v="TESOURO"/>
    <n v="433000"/>
    <n v="433000"/>
    <n v="430900"/>
  </r>
  <r>
    <n v="2023"/>
    <n v="7"/>
    <s v="50.10.3.3.90.48.08.244.0005.2.031.92.500041"/>
    <x v="8"/>
    <x v="7"/>
    <x v="13"/>
    <s v="OUTROS AUXÍLIOS FINANCEIROS A PESSOA FÍSICA"/>
    <s v="TRANSFERENCIAS E CONVENIOS ESTADUAIS - VINCULADOS - EXERCÍCIO ANTERIOR"/>
    <n v="26300"/>
    <n v="26300"/>
    <n v="26300"/>
  </r>
  <r>
    <n v="2023"/>
    <n v="7"/>
    <s v="50.10.4.4.50.39.08.244.0005.2.002.03.500072"/>
    <x v="8"/>
    <x v="7"/>
    <x v="13"/>
    <s v="OUTROS SERVIÇOS DE TERCEIROS -PESSOA JURÍDICA"/>
    <s v="RECURSOS PROPRIOS DE FUNDOS ESPECIAIS DE DESPESA - VINCULADOS"/>
    <n v="0"/>
    <n v="0"/>
    <n v="41858.33"/>
  </r>
  <r>
    <n v="2023"/>
    <n v="7"/>
    <s v="50.10.4.4.50.39.08.244.0005.2.002.93.500072"/>
    <x v="8"/>
    <x v="7"/>
    <x v="13"/>
    <s v="OUTROS SERVIÇOS DE TERCEIROS -PESSOA JURÍDICA"/>
    <s v="RECURSOS PROPRIOS DE FUNDOS ESPECIAIS DE DESPESA - VINCULADOS - EXERCÍCIO ANTERIOR"/>
    <n v="0"/>
    <n v="0"/>
    <n v="217080"/>
  </r>
  <r>
    <n v="2023"/>
    <n v="7"/>
    <s v="50.10.4.4.90.52.08.243.0005.2.066.01.510000"/>
    <x v="8"/>
    <x v="7"/>
    <x v="14"/>
    <s v="EQUIPAMENTOS E MATERIAL PERMANENTE"/>
    <s v="TESOURO"/>
    <n v="2994"/>
    <n v="5400"/>
    <n v="0"/>
  </r>
  <r>
    <n v="2023"/>
    <n v="7"/>
    <s v="50.10.4.4.90.52.08.244.0005.2.002.01.510000"/>
    <x v="8"/>
    <x v="7"/>
    <x v="13"/>
    <s v="EQUIPAMENTOS E MATERIAL PERMANENTE"/>
    <s v="TESOURO"/>
    <n v="2087.5"/>
    <n v="58801.75"/>
    <n v="644"/>
  </r>
  <r>
    <n v="2023"/>
    <n v="7"/>
    <s v="50.10.4.4.90.52.08.244.0005.2.031.05.500042"/>
    <x v="8"/>
    <x v="7"/>
    <x v="13"/>
    <s v="EQUIPAMENTOS E MATERIAL PERMANENTE"/>
    <s v="TRANSFERENCIAS E CONVENIOS FEDERAIS - VINCULADOS"/>
    <n v="0"/>
    <n v="970"/>
    <n v="230"/>
  </r>
  <r>
    <n v="2023"/>
    <n v="7"/>
    <s v="50.10.4.4.90.52.08.244.0005.2.031.95.800198"/>
    <x v="8"/>
    <x v="7"/>
    <x v="13"/>
    <s v="EQUIPAMENTOS E MATERIAL PERMANENTE"/>
    <s v="TRANSFERENCIAS E CONVENIOS FEDERAIS - VINCULADOS - EXERCÍCIO ANTERIOR"/>
    <n v="0"/>
    <n v="5795.96"/>
    <n v="0"/>
  </r>
  <r>
    <n v="2023"/>
    <n v="7"/>
    <s v="55.10.3.1.90.11.04.452.0008.2.002.01.110000"/>
    <x v="9"/>
    <x v="0"/>
    <x v="15"/>
    <s v="VENCIMENTOS E VANTAGENS FIXAS -  PESSOAL CIVIL"/>
    <s v="TESOURO"/>
    <n v="1654960.27"/>
    <n v="1654960.27"/>
    <n v="1654960.27"/>
  </r>
  <r>
    <n v="2023"/>
    <n v="7"/>
    <s v="55.10.3.3.90.30.04.452.0008.2.002.01.110000"/>
    <x v="9"/>
    <x v="0"/>
    <x v="15"/>
    <s v="MATERIAL DE CONSUMO"/>
    <s v="TESOURO"/>
    <n v="2000"/>
    <n v="2000"/>
    <n v="4000"/>
  </r>
  <r>
    <n v="2023"/>
    <n v="7"/>
    <s v="55.10.3.3.90.30.15.451.0008.2.043.93.100081"/>
    <x v="9"/>
    <x v="3"/>
    <x v="5"/>
    <s v="MATERIAL DE CONSUMO"/>
    <s v="RECURSOS PROPRIOS DE FUNDOS ESPECIAIS DE DESPESA - VINCULADOS - EXERCÍCIO ANTERIOR"/>
    <n v="136998"/>
    <n v="0"/>
    <n v="0"/>
  </r>
  <r>
    <n v="2023"/>
    <n v="7"/>
    <s v="55.10.3.3.90.30.15.452.0008.2.044.01.110000"/>
    <x v="9"/>
    <x v="3"/>
    <x v="15"/>
    <s v="MATERIAL DE CONSUMO"/>
    <s v="TESOURO"/>
    <n v="-3721434.08"/>
    <n v="1159090.42"/>
    <n v="938772.1"/>
  </r>
  <r>
    <n v="2023"/>
    <n v="7"/>
    <s v="55.10.3.3.90.36.15.452.0008.2.044.01.110000"/>
    <x v="9"/>
    <x v="3"/>
    <x v="15"/>
    <s v="OUTROS SERVIÇOS DE TERCEIROS - PESSOA FÍSICA"/>
    <s v="TESOURO"/>
    <n v="9035.9500000000007"/>
    <n v="9035.9500000000007"/>
    <n v="9035.9500000000007"/>
  </r>
  <r>
    <n v="2023"/>
    <n v="7"/>
    <s v="55.10.3.3.90.39.04.452.0008.2.002.01.110000"/>
    <x v="9"/>
    <x v="0"/>
    <x v="15"/>
    <s v="OUTROS SERVIÇOS DE TERCEIROS -  PESSOA JURÍDICA"/>
    <s v="TESOURO"/>
    <n v="195"/>
    <n v="6098.63"/>
    <n v="6598.63"/>
  </r>
  <r>
    <n v="2023"/>
    <n v="7"/>
    <s v="55.10.3.3.90.39.15.451.0008.2.043.03.100081"/>
    <x v="9"/>
    <x v="3"/>
    <x v="5"/>
    <s v="OUTROS SERVIÇOS DE TERCEIROS -  PESSOA JURÍDICA"/>
    <s v="RECURSOS PROPRIOS DE FUNDOS ESPECIAIS DE DESPESA - VINCULADOS"/>
    <n v="60411.85"/>
    <n v="1740982.34"/>
    <n v="1445244.92"/>
  </r>
  <r>
    <n v="2023"/>
    <n v="7"/>
    <s v="55.10.3.3.90.39.15.452.0008.2.044.01.110000"/>
    <x v="9"/>
    <x v="3"/>
    <x v="15"/>
    <s v="OUTROS SERVIÇOS DE TERCEIROS -  PESSOA JURÍDICA"/>
    <s v="TESOURO"/>
    <n v="9727902.7300000004"/>
    <n v="9642866.9199999999"/>
    <n v="8885671.6699999999"/>
  </r>
  <r>
    <n v="2023"/>
    <n v="7"/>
    <s v="55.10.3.3.90.39.17.512.0008.2.045.01.110000"/>
    <x v="9"/>
    <x v="8"/>
    <x v="16"/>
    <s v="OUTROS SERVIÇOS DE TERCEIROS -  PESSOA JURÍDICA"/>
    <s v="TESOURO"/>
    <n v="0"/>
    <n v="9012274.6199999992"/>
    <n v="5559364.4699999997"/>
  </r>
  <r>
    <n v="2023"/>
    <n v="7"/>
    <s v="55.10.3.3.90.93.15.452.0008.2.044.01.110000"/>
    <x v="9"/>
    <x v="3"/>
    <x v="15"/>
    <s v="INDENIZAÇÕES E RESTITUIÇÕES"/>
    <s v="TESOURO"/>
    <n v="22813.19"/>
    <n v="22813.19"/>
    <n v="2972.12"/>
  </r>
  <r>
    <n v="2023"/>
    <n v="7"/>
    <s v="55.10.4.4.90.51.15.451.0008.2.043.03.100081"/>
    <x v="9"/>
    <x v="3"/>
    <x v="5"/>
    <s v="OBRAS E INSTALAÇÕES"/>
    <s v="RECURSOS PROPRIOS DE FUNDOS ESPECIAIS DE DESPESA - VINCULADOS"/>
    <n v="0"/>
    <n v="268529.39"/>
    <n v="191009.68"/>
  </r>
  <r>
    <n v="2023"/>
    <n v="7"/>
    <s v="55.10.4.4.90.52.04.452.0008.2.002.01.110000"/>
    <x v="9"/>
    <x v="0"/>
    <x v="15"/>
    <s v="EQUIPAMENTOS E MATERIAL PERMANENTE"/>
    <s v="TESOURO"/>
    <n v="4000"/>
    <n v="1100"/>
    <n v="0"/>
  </r>
  <r>
    <n v="2023"/>
    <n v="7"/>
    <s v="60.10.3.1.90.11.10.301.0006.2.002.01.301000"/>
    <x v="10"/>
    <x v="9"/>
    <x v="17"/>
    <s v="VENCIMENTOS E VANTAGENS FIXAS -  PESSOAL CIVIL"/>
    <s v="TESOURO"/>
    <n v="13599737.07"/>
    <n v="13599737.07"/>
    <n v="13674363.43"/>
  </r>
  <r>
    <n v="2023"/>
    <n v="7"/>
    <s v="60.10.3.1.90.13.10.301.0006.2.002.01.301000"/>
    <x v="10"/>
    <x v="9"/>
    <x v="17"/>
    <s v="OBRIGAÇÕES PATRONAIS"/>
    <s v="TESOURO"/>
    <n v="495825.2"/>
    <n v="495825.2"/>
    <n v="495825.2"/>
  </r>
  <r>
    <n v="2023"/>
    <n v="7"/>
    <s v="60.10.3.1.90.16.10.301.0006.2.002.01.301000"/>
    <x v="10"/>
    <x v="9"/>
    <x v="17"/>
    <s v="OUTRAS DESPESAS VARIÁVEIS - PESSOAL CIVIL"/>
    <s v="TESOURO"/>
    <n v="586371.81000000006"/>
    <n v="586371.81000000006"/>
    <n v="586371.81000000006"/>
  </r>
  <r>
    <n v="2023"/>
    <n v="7"/>
    <s v="60.10.3.1.90.94.10.301.0006.2.002.01.301000"/>
    <x v="10"/>
    <x v="9"/>
    <x v="17"/>
    <s v="INDENIZAÇÕES E RESTITUIÇÕES TRABALHISTAS"/>
    <s v="TESOURO"/>
    <n v="409977.64"/>
    <n v="409977.64"/>
    <n v="431819.62"/>
  </r>
  <r>
    <n v="2023"/>
    <n v="7"/>
    <s v="60.10.3.1.90.96.10.301.0006.2.002.01.301000"/>
    <x v="10"/>
    <x v="9"/>
    <x v="17"/>
    <s v="RESSARCIMENTO DE DESPESAS DE PESSOAL REQUISITADO"/>
    <s v="TESOURO"/>
    <n v="110355.18"/>
    <n v="110355.18"/>
    <n v="110355.18"/>
  </r>
  <r>
    <n v="2023"/>
    <n v="7"/>
    <s v="60.10.3.1.91.13.10.301.0006.2.002.01.301000"/>
    <x v="10"/>
    <x v="9"/>
    <x v="17"/>
    <s v="OBRIGAÇÕES PATRONAIS"/>
    <s v="TESOURO"/>
    <n v="2855575.12"/>
    <n v="2855575.12"/>
    <n v="2855575.12"/>
  </r>
  <r>
    <n v="2023"/>
    <n v="7"/>
    <s v="60.10.3.3.90.08.10.301.0006.2.002.01.301000"/>
    <x v="10"/>
    <x v="9"/>
    <x v="17"/>
    <s v="OUTROS BENEFÍCIOS ASSISTENCIAIS DO SERVIDOR E DO MILITAR"/>
    <s v="TESOURO"/>
    <n v="43913.33"/>
    <n v="43913.33"/>
    <n v="43913.33"/>
  </r>
  <r>
    <n v="2023"/>
    <n v="7"/>
    <s v="60.10.3.3.90.14.10.301.0006.2.002.01.301000"/>
    <x v="10"/>
    <x v="9"/>
    <x v="17"/>
    <s v="DIÁRIAS - PESSOAL CIVIL"/>
    <s v="TESOURO"/>
    <n v="0"/>
    <n v="0"/>
    <n v="3000"/>
  </r>
  <r>
    <n v="2023"/>
    <n v="7"/>
    <s v="60.10.3.3.90.30.10.301.0006.2.002.01.301000"/>
    <x v="10"/>
    <x v="9"/>
    <x v="17"/>
    <s v="MATERIAL DE CONSUMO"/>
    <s v="TESOURO"/>
    <n v="-12316.5"/>
    <n v="57412.65"/>
    <n v="67861.66"/>
  </r>
  <r>
    <n v="2023"/>
    <n v="7"/>
    <s v="60.10.3.3.90.36.10.301.0006.2.002.01.301000"/>
    <x v="10"/>
    <x v="9"/>
    <x v="17"/>
    <s v="OUTROS SERVIÇOS DE TERCEIROS - PESSOA FÍSICA"/>
    <s v="TESOURO"/>
    <n v="44238.75"/>
    <n v="62143.07"/>
    <n v="62676.97"/>
  </r>
  <r>
    <n v="2023"/>
    <n v="7"/>
    <s v="60.10.3.3.90.36.10.301.0006.2.051.01.301000"/>
    <x v="10"/>
    <x v="9"/>
    <x v="17"/>
    <s v="OUTROS SERVIÇOS DE TERCEIROS - PESSOA FÍSICA"/>
    <s v="TESOURO"/>
    <n v="0"/>
    <n v="9878.67"/>
    <n v="9878.67"/>
  </r>
  <r>
    <n v="2023"/>
    <n v="7"/>
    <s v="60.10.3.3.90.37.10.301.0006.2.051.01.301000"/>
    <x v="10"/>
    <x v="9"/>
    <x v="17"/>
    <s v="LOCAÇÃO DE MÃO-DE-OBRA"/>
    <s v="TESOURO"/>
    <n v="121117.39"/>
    <n v="599106.23"/>
    <n v="1000757.83"/>
  </r>
  <r>
    <n v="2023"/>
    <n v="7"/>
    <s v="60.10.3.3.90.39.10.301.0006.2.002.01.301000"/>
    <x v="10"/>
    <x v="9"/>
    <x v="17"/>
    <s v="OUTROS SERVIÇOS DE TERCEIROS -  PESSOA JURÍDICA"/>
    <s v="TESOURO"/>
    <n v="506000.19"/>
    <n v="555456.04"/>
    <n v="469503.41"/>
  </r>
  <r>
    <n v="2023"/>
    <n v="7"/>
    <s v="60.10.3.3.90.39.10.301.0006.2.002.91.301000"/>
    <x v="10"/>
    <x v="9"/>
    <x v="17"/>
    <s v="OUTROS SERVIÇOS DE TERCEIROS -  PESSOA JURÍDICA"/>
    <s v="TESOURO - EXERCÍCIO ANTERIOR"/>
    <n v="37948.400000000001"/>
    <n v="459043.2"/>
    <n v="1800"/>
  </r>
  <r>
    <n v="2023"/>
    <n v="7"/>
    <s v="60.10.3.3.90.39.10.301.0006.2.007.01.301000"/>
    <x v="10"/>
    <x v="9"/>
    <x v="17"/>
    <s v="OUTROS SERVIÇOS DE TERCEIROS -  PESSOA JURÍDICA"/>
    <s v="TESOURO"/>
    <n v="-268003.37"/>
    <n v="350428.22"/>
    <n v="346533.7"/>
  </r>
  <r>
    <n v="2023"/>
    <n v="7"/>
    <s v="60.10.3.3.90.39.10.301.0006.2.051.01.301000"/>
    <x v="10"/>
    <x v="9"/>
    <x v="17"/>
    <s v="OUTROS SERVIÇOS DE TERCEIROS -  PESSOA JURÍDICA"/>
    <s v="TESOURO"/>
    <n v="-48329"/>
    <n v="80875.98"/>
    <n v="77540.98"/>
  </r>
  <r>
    <n v="2023"/>
    <n v="7"/>
    <s v="60.10.3.3.90.39.10.301.0006.2.051.01.312167"/>
    <x v="10"/>
    <x v="9"/>
    <x v="17"/>
    <s v="OUTROS SERVIÇOS DE TERCEIROS -  PESSOA JURÍDICA"/>
    <s v="TESOURO"/>
    <n v="0"/>
    <n v="0"/>
    <n v="16392"/>
  </r>
  <r>
    <n v="2023"/>
    <n v="7"/>
    <s v="60.10.3.3.90.46.10.301.0006.2.002.01.301000"/>
    <x v="10"/>
    <x v="9"/>
    <x v="17"/>
    <s v="AUXÍLIO ALIMENTAÇÃO"/>
    <s v="TESOURO"/>
    <n v="621629.69999999995"/>
    <n v="621629.69999999995"/>
    <n v="621629.69999999995"/>
  </r>
  <r>
    <n v="2023"/>
    <n v="7"/>
    <s v="60.10.4.4.90.51.10.122.0006.2.062.06.340000"/>
    <x v="10"/>
    <x v="9"/>
    <x v="0"/>
    <s v="OBRAS E INSTALAÇÕES"/>
    <s v="OUTRAS FONTES DE RECURSOS"/>
    <n v="0"/>
    <n v="281627.08"/>
    <n v="207206.35"/>
  </r>
  <r>
    <n v="2023"/>
    <n v="7"/>
    <s v="60.10.4.4.90.51.10.122.0006.2.062.96.340000"/>
    <x v="10"/>
    <x v="9"/>
    <x v="0"/>
    <s v="OBRAS E INSTALAÇÕES"/>
    <s v="OUTRAS FONTES DE RECURSOS - EXERCÍCIO ANTERIOR"/>
    <n v="-2000000"/>
    <n v="44692.27"/>
    <n v="44692.27"/>
  </r>
  <r>
    <n v="2023"/>
    <n v="7"/>
    <s v="60.10.4.4.90.52.10.122.0006.2.062.06.340000"/>
    <x v="10"/>
    <x v="9"/>
    <x v="0"/>
    <s v="EQUIPAMENTOS E MATERIAL PERMANENTE"/>
    <s v="OUTRAS FONTES DE RECURSOS"/>
    <n v="114513.35"/>
    <n v="171995.77"/>
    <n v="177292.25"/>
  </r>
  <r>
    <n v="2023"/>
    <n v="7"/>
    <s v="60.10.4.4.90.52.10.301.0006.1.010.05.800055"/>
    <x v="10"/>
    <x v="9"/>
    <x v="17"/>
    <s v="EQUIPAMENTOS E MATERIAL PERMANENTE"/>
    <s v="TRANSFERENCIAS E CONVENIOS FEDERAIS - VINCULADOS"/>
    <n v="601"/>
    <n v="601"/>
    <n v="0"/>
  </r>
  <r>
    <n v="2023"/>
    <n v="7"/>
    <s v="60.30.3.3.50.39.10.302.0006.2.033.01.302000"/>
    <x v="10"/>
    <x v="9"/>
    <x v="18"/>
    <s v="OUTROS SERVIÇOS DE TERCEIROS -PESSOA JURÍDICA"/>
    <s v="TESOURO"/>
    <n v="2027033.66"/>
    <n v="14490190.470000001"/>
    <n v="14490190.470000001"/>
  </r>
  <r>
    <n v="2023"/>
    <n v="7"/>
    <s v="60.30.3.3.50.39.10.302.0006.2.033.01.312167"/>
    <x v="10"/>
    <x v="9"/>
    <x v="18"/>
    <s v="OUTROS SERVIÇOS DE TERCEIROS -PESSOA JURÍDICA"/>
    <s v="TESOURO"/>
    <n v="0"/>
    <n v="1774542"/>
    <n v="1774542"/>
  </r>
  <r>
    <n v="2023"/>
    <n v="7"/>
    <s v="60.30.3.3.50.39.10.302.0006.2.033.02.302024"/>
    <x v="10"/>
    <x v="9"/>
    <x v="18"/>
    <s v="OUTROS SERVIÇOS DE TERCEIROS -PESSOA JURÍDICA"/>
    <s v="TRANSFERENCIAS E CONVENIOS ESTADUAIS - VINCULADOS"/>
    <n v="0"/>
    <n v="795156.96"/>
    <n v="901495.74"/>
  </r>
  <r>
    <n v="2023"/>
    <n v="7"/>
    <s v="60.30.3.3.50.39.10.302.0006.2.033.05.302023"/>
    <x v="10"/>
    <x v="9"/>
    <x v="18"/>
    <s v="OUTROS SERVIÇOS DE TERCEIROS -PESSOA JURÍDICA"/>
    <s v="TRANSFERENCIAS E CONVENIOS FEDERAIS - VINCULADOS"/>
    <n v="0"/>
    <n v="4493417"/>
    <n v="4493417"/>
  </r>
  <r>
    <n v="2023"/>
    <n v="7"/>
    <s v="60.30.3.3.50.39.10.302.0006.2.033.92.302024"/>
    <x v="10"/>
    <x v="9"/>
    <x v="18"/>
    <s v="OUTROS SERVIÇOS DE TERCEIROS -PESSOA JURÍDICA"/>
    <s v="TRANSFERENCIAS E CONVENIOS ESTADUAIS - VINCULADOS - EXERCÍCIO ANTERIOR"/>
    <n v="0"/>
    <n v="350000"/>
    <n v="243661.22"/>
  </r>
  <r>
    <n v="2023"/>
    <n v="7"/>
    <s v="60.30.3.3.71.70.10.302.0006.2.032.01.302000"/>
    <x v="10"/>
    <x v="9"/>
    <x v="18"/>
    <s v="RATEIO PELA PARTICIPAÇÃO EM CONSÓRCIO PÚBLICO"/>
    <s v="TESOURO"/>
    <n v="0"/>
    <n v="0"/>
    <n v="958896"/>
  </r>
  <r>
    <n v="2023"/>
    <n v="7"/>
    <s v="60.30.3.3.71.70.10.302.0006.2.032.05.302023"/>
    <x v="10"/>
    <x v="9"/>
    <x v="18"/>
    <s v="RATEIO PELA PARTICIPAÇÃO EM CONSÓRCIO PÚBLICO"/>
    <s v="TRANSFERENCIAS E CONVENIOS FEDERAIS - VINCULADOS"/>
    <n v="0"/>
    <n v="0"/>
    <n v="362099"/>
  </r>
  <r>
    <n v="2023"/>
    <n v="7"/>
    <s v="60.50.3.1.90.04.10.301.0006.2.034.05.3130000"/>
    <x v="10"/>
    <x v="9"/>
    <x v="17"/>
    <s v="CONTRATAÇÃO POR TEMPO DETERMINADO"/>
    <s v="TRANSFERENCIAS E CONVENIOS FEDERAIS - VINCULADOS"/>
    <n v="743017.28"/>
    <n v="743017.28"/>
    <n v="773790.66"/>
  </r>
  <r>
    <n v="2023"/>
    <n v="7"/>
    <s v="60.50.3.1.90.04.10.305.0006.2.038.05.3130000"/>
    <x v="10"/>
    <x v="9"/>
    <x v="19"/>
    <s v="CONTRATAÇÃO POR TEMPO DETERMINADO"/>
    <s v="TRANSFERENCIAS E CONVENIOS FEDERAIS - VINCULADOS"/>
    <n v="682124.51"/>
    <n v="682124.51"/>
    <n v="703139.38"/>
  </r>
  <r>
    <n v="2023"/>
    <n v="7"/>
    <s v="60.50.3.3.50.39.10.301.0006.2.034.01.301000"/>
    <x v="10"/>
    <x v="9"/>
    <x v="17"/>
    <s v="OUTROS SERVIÇOS DE TERCEIROS -PESSOA JURÍDICA"/>
    <s v="TESOURO"/>
    <n v="0"/>
    <n v="2931360.76"/>
    <n v="2931360.76"/>
  </r>
  <r>
    <n v="2023"/>
    <n v="7"/>
    <s v="60.50.3.3.90.30.04.304.0006.2.055.01.303000"/>
    <x v="10"/>
    <x v="0"/>
    <x v="20"/>
    <s v="MATERIAL DE CONSUMO"/>
    <s v="TESOURO"/>
    <n v="65593.759999999995"/>
    <n v="45187.44"/>
    <n v="9347.65"/>
  </r>
  <r>
    <n v="2023"/>
    <n v="7"/>
    <s v="60.50.3.3.90.30.10.301.0006.2.034.01.301000"/>
    <x v="10"/>
    <x v="9"/>
    <x v="17"/>
    <s v="MATERIAL DE CONSUMO"/>
    <s v="TESOURO"/>
    <n v="22358.52"/>
    <n v="152693.72"/>
    <n v="267927.99"/>
  </r>
  <r>
    <n v="2023"/>
    <n v="7"/>
    <s v="60.50.3.3.90.30.10.301.0006.2.034.02.301024"/>
    <x v="10"/>
    <x v="9"/>
    <x v="17"/>
    <s v="MATERIAL DE CONSUMO"/>
    <s v="TRANSFERENCIAS E CONVENIOS ESTADUAIS - VINCULADOS"/>
    <n v="1416853.64"/>
    <n v="1797612.68"/>
    <n v="96957.62"/>
  </r>
  <r>
    <n v="2023"/>
    <n v="7"/>
    <s v="60.50.3.3.90.30.10.301.0006.2.034.05.301022"/>
    <x v="10"/>
    <x v="9"/>
    <x v="17"/>
    <s v="MATERIAL DE CONSUMO"/>
    <s v="TRANSFERENCIAS E CONVENIOS FEDERAIS - VINCULADOS"/>
    <n v="123760.54"/>
    <n v="331321.31"/>
    <n v="552210.89"/>
  </r>
  <r>
    <n v="2023"/>
    <n v="7"/>
    <s v="60.50.3.3.90.30.10.301.0006.2.034.92.301024"/>
    <x v="10"/>
    <x v="9"/>
    <x v="17"/>
    <s v="MATERIAL DE CONSUMO"/>
    <s v="TRANSFERENCIAS E CONVENIOS ESTADUAIS - VINCULADOS - EXERCÍCIO ANTERIOR"/>
    <n v="-187.3"/>
    <n v="331254.88"/>
    <n v="1381220.36"/>
  </r>
  <r>
    <n v="2023"/>
    <n v="7"/>
    <s v="60.50.3.3.90.30.10.303.0006.2.036.01.304000"/>
    <x v="10"/>
    <x v="9"/>
    <x v="21"/>
    <s v="MATERIAL DE CONSUMO"/>
    <s v="TESOURO"/>
    <n v="-7188.78"/>
    <n v="102646.16"/>
    <n v="131241.85999999999"/>
  </r>
  <r>
    <n v="2023"/>
    <n v="7"/>
    <s v="60.50.3.3.90.30.10.303.0006.2.036.05.304040"/>
    <x v="10"/>
    <x v="9"/>
    <x v="21"/>
    <s v="MATERIAL DE CONSUMO"/>
    <s v="TRANSFERENCIAS E CONVENIOS FEDERAIS - VINCULADOS"/>
    <n v="-13537.39"/>
    <n v="130033.65"/>
    <n v="563779.85"/>
  </r>
  <r>
    <n v="2023"/>
    <n v="7"/>
    <s v="60.50.3.3.90.30.10.304.0006.2.037.06.320000"/>
    <x v="10"/>
    <x v="9"/>
    <x v="20"/>
    <s v="MATERIAL DE CONSUMO"/>
    <s v="OUTRAS FONTES DE RECURSOS"/>
    <n v="25"/>
    <n v="25"/>
    <n v="0"/>
  </r>
  <r>
    <n v="2023"/>
    <n v="7"/>
    <s v="60.50.3.3.90.30.10.305.0006.2.038.01.303000"/>
    <x v="10"/>
    <x v="9"/>
    <x v="19"/>
    <s v="MATERIAL DE CONSUMO"/>
    <s v="TESOURO"/>
    <n v="45"/>
    <n v="45"/>
    <n v="0"/>
  </r>
  <r>
    <n v="2023"/>
    <n v="7"/>
    <s v="60.50.3.3.90.30.10.305.0006.2.038.05.303019"/>
    <x v="10"/>
    <x v="9"/>
    <x v="19"/>
    <s v="MATERIAL DE CONSUMO"/>
    <s v="TRANSFERENCIAS E CONVENIOS FEDERAIS - VINCULADOS"/>
    <n v="418"/>
    <n v="0"/>
    <n v="0"/>
  </r>
  <r>
    <n v="2023"/>
    <n v="7"/>
    <s v="60.50.3.3.90.32.10.301.0006.2.034.05.301022"/>
    <x v="10"/>
    <x v="9"/>
    <x v="17"/>
    <s v="MATERIAL, BEM OU SERVIÇO PARA DISTRIBUIÇÃO GRATUITA"/>
    <s v="TRANSFERENCIAS E CONVENIOS FEDERAIS - VINCULADOS"/>
    <n v="85462.51"/>
    <n v="12698.7"/>
    <n v="654.91999999999996"/>
  </r>
  <r>
    <n v="2023"/>
    <n v="7"/>
    <s v="60.50.3.3.90.36.10.301.0006.2.034.01.301000"/>
    <x v="10"/>
    <x v="9"/>
    <x v="17"/>
    <s v="OUTROS SERVIÇOS DE TERCEIROS - PESSOA FÍSICA"/>
    <s v="TESOURO"/>
    <n v="0"/>
    <n v="13500"/>
    <n v="13500"/>
  </r>
  <r>
    <n v="2023"/>
    <n v="7"/>
    <s v="60.50.3.3.90.36.10.304.0006.2.037.06.320000"/>
    <x v="10"/>
    <x v="9"/>
    <x v="20"/>
    <s v="OUTROS SERVIÇOS DE TERCEIROS - PESSOA FÍSICA"/>
    <s v="OUTRAS FONTES DE RECURSOS"/>
    <n v="19882.5"/>
    <n v="16306.61"/>
    <n v="25286.61"/>
  </r>
  <r>
    <n v="2023"/>
    <n v="7"/>
    <s v="60.50.3.3.90.36.10.305.0006.2.038.05.303038"/>
    <x v="10"/>
    <x v="9"/>
    <x v="19"/>
    <s v="OUTROS SERVIÇOS DE TERCEIROS - PESSOA FÍSICA"/>
    <s v="TRANSFERENCIAS E CONVENIOS FEDERAIS - VINCULADOS"/>
    <n v="24061.95"/>
    <n v="19604.41"/>
    <n v="19604.41"/>
  </r>
  <r>
    <n v="2023"/>
    <n v="7"/>
    <s v="60.50.3.3.90.37.10.301.0006.2.034.01.301000"/>
    <x v="10"/>
    <x v="9"/>
    <x v="17"/>
    <s v="LOCAÇÃO DE MÃO-DE-OBRA"/>
    <s v="TESOURO"/>
    <n v="0"/>
    <n v="274484.63"/>
    <n v="548971.42000000004"/>
  </r>
  <r>
    <n v="2023"/>
    <n v="7"/>
    <s v="60.50.3.3.90.39.04.304.0006.2.055.01.303000"/>
    <x v="10"/>
    <x v="0"/>
    <x v="20"/>
    <s v="OUTROS SERVIÇOS DE TERCEIROS -  PESSOA JURÍDICA"/>
    <s v="TESOURO"/>
    <n v="-141440.92000000001"/>
    <n v="284646.39"/>
    <n v="256556.57"/>
  </r>
  <r>
    <n v="2023"/>
    <n v="7"/>
    <s v="60.50.3.3.90.39.04.304.0006.2.055.91.303000"/>
    <x v="10"/>
    <x v="0"/>
    <x v="20"/>
    <s v="OUTROS SERVIÇOS DE TERCEIROS -  PESSOA JURÍDICA"/>
    <s v="TESOURO - EXERCÍCIO ANTERIOR"/>
    <n v="0"/>
    <n v="16650"/>
    <n v="650"/>
  </r>
  <r>
    <n v="2023"/>
    <n v="7"/>
    <s v="60.50.3.3.90.39.04.304.0006.2.055.96.320000"/>
    <x v="10"/>
    <x v="0"/>
    <x v="20"/>
    <s v="OUTROS SERVIÇOS DE TERCEIROS -  PESSOA JURÍDICA"/>
    <s v="OUTRAS FONTES DE RECURSOS - EXERCÍCIO ANTERIOR"/>
    <n v="0"/>
    <n v="138656.14000000001"/>
    <n v="48735.34"/>
  </r>
  <r>
    <n v="2023"/>
    <n v="7"/>
    <s v="60.50.3.3.90.39.04.304.0006.2.060.01.303000"/>
    <x v="10"/>
    <x v="0"/>
    <x v="20"/>
    <s v="OUTROS SERVIÇOS DE TERCEIROS -  PESSOA JURÍDICA"/>
    <s v="TESOURO"/>
    <n v="0"/>
    <n v="17604"/>
    <n v="17604"/>
  </r>
  <r>
    <n v="2023"/>
    <n v="7"/>
    <s v="60.50.3.3.90.39.10.301.0006.2.034.01.301000"/>
    <x v="10"/>
    <x v="9"/>
    <x v="17"/>
    <s v="OUTROS SERVIÇOS DE TERCEIROS -  PESSOA JURÍDICA"/>
    <s v="TESOURO"/>
    <n v="133556.53"/>
    <n v="1491468.02"/>
    <n v="1561436.64"/>
  </r>
  <r>
    <n v="2023"/>
    <n v="7"/>
    <s v="60.50.3.3.90.39.10.301.0006.2.034.05.301022"/>
    <x v="10"/>
    <x v="9"/>
    <x v="17"/>
    <s v="OUTROS SERVIÇOS DE TERCEIROS -  PESSOA JURÍDICA"/>
    <s v="TRANSFERENCIAS E CONVENIOS FEDERAIS - VINCULADOS"/>
    <n v="-246061.85"/>
    <n v="779000.54"/>
    <n v="111648.09"/>
  </r>
  <r>
    <n v="2023"/>
    <n v="7"/>
    <s v="60.50.3.3.90.39.10.301.0006.2.034.95.305053"/>
    <x v="10"/>
    <x v="9"/>
    <x v="17"/>
    <s v="OUTROS SERVIÇOS DE TERCEIROS -  PESSOA JURÍDICA"/>
    <s v="TRANSFERENCIAS E CONVENIOS FEDERAIS - VINCULADOS - EXERCÍCIO ANTERIOR"/>
    <n v="18840"/>
    <n v="0"/>
    <n v="0"/>
  </r>
  <r>
    <n v="2023"/>
    <n v="7"/>
    <s v="60.50.3.3.90.39.10.301.0006.2.034.95.312161"/>
    <x v="10"/>
    <x v="9"/>
    <x v="17"/>
    <s v="OUTROS SERVIÇOS DE TERCEIROS -  PESSOA JURÍDICA"/>
    <s v="TRANSFERENCIAS E CONVENIOS FEDERAIS - VINCULADOS - EXERCÍCIO ANTERIOR"/>
    <n v="27770"/>
    <n v="32640"/>
    <n v="0"/>
  </r>
  <r>
    <n v="2023"/>
    <n v="7"/>
    <s v="60.50.3.3.90.39.10.304.0006.2.037.06.320000"/>
    <x v="10"/>
    <x v="9"/>
    <x v="20"/>
    <s v="OUTROS SERVIÇOS DE TERCEIROS -  PESSOA JURÍDICA"/>
    <s v="OUTRAS FONTES DE RECURSOS"/>
    <n v="620"/>
    <n v="21084.14"/>
    <n v="19104.14"/>
  </r>
  <r>
    <n v="2023"/>
    <n v="7"/>
    <s v="60.50.3.3.90.39.10.305.0006.2.038.01.303000"/>
    <x v="10"/>
    <x v="9"/>
    <x v="19"/>
    <s v="OUTROS SERVIÇOS DE TERCEIROS -  PESSOA JURÍDICA"/>
    <s v="TESOURO"/>
    <n v="0"/>
    <n v="3960"/>
    <n v="10343.33"/>
  </r>
  <r>
    <n v="2023"/>
    <n v="7"/>
    <s v="60.50.3.3.90.39.10.305.0006.2.038.05.303019"/>
    <x v="10"/>
    <x v="9"/>
    <x v="19"/>
    <s v="OUTROS SERVIÇOS DE TERCEIROS -  PESSOA JURÍDICA"/>
    <s v="TRANSFERENCIAS E CONVENIOS FEDERAIS - VINCULADOS"/>
    <n v="-10632"/>
    <n v="0"/>
    <n v="0"/>
  </r>
  <r>
    <n v="2023"/>
    <n v="7"/>
    <s v="60.50.3.3.90.39.10.305.0006.2.038.05.303038"/>
    <x v="10"/>
    <x v="9"/>
    <x v="19"/>
    <s v="OUTROS SERVIÇOS DE TERCEIROS -  PESSOA JURÍDICA"/>
    <s v="TRANSFERENCIAS E CONVENIOS FEDERAIS - VINCULADOS"/>
    <n v="62687.519999999997"/>
    <n v="36928.65"/>
    <n v="37142.32"/>
  </r>
  <r>
    <n v="2023"/>
    <n v="7"/>
    <s v="60.50.3.3.90.39.10.305.0006.2.038.06.320000"/>
    <x v="10"/>
    <x v="9"/>
    <x v="19"/>
    <s v="OUTROS SERVIÇOS DE TERCEIROS -  PESSOA JURÍDICA"/>
    <s v="OUTRAS FONTES DE RECURSOS"/>
    <n v="3472"/>
    <n v="0"/>
    <n v="0"/>
  </r>
  <r>
    <n v="2023"/>
    <n v="7"/>
    <s v="60.50.3.3.90.39.10.305.0006.2.038.95.303019"/>
    <x v="10"/>
    <x v="9"/>
    <x v="19"/>
    <s v="OUTROS SERVIÇOS DE TERCEIROS -  PESSOA JURÍDICA"/>
    <s v="TRANSFERENCIAS E CONVENIOS FEDERAIS - VINCULADOS - EXERCÍCIO ANTERIOR"/>
    <n v="29900"/>
    <n v="0"/>
    <n v="0"/>
  </r>
  <r>
    <n v="2023"/>
    <n v="7"/>
    <s v="60.50.3.3.90.40.10.301.0006.2.034.05.301022"/>
    <x v="10"/>
    <x v="9"/>
    <x v="17"/>
    <s v="SERVIÇOS DE TECNOLOGIA DA INFORMAÇÃO E COMUNICAÇÃO - PJ"/>
    <s v="TRANSFERENCIAS E CONVENIOS FEDERAIS - VINCULADOS"/>
    <n v="0"/>
    <n v="563629.88"/>
    <n v="1037295.12"/>
  </r>
  <r>
    <n v="2023"/>
    <n v="7"/>
    <s v="60.50.3.3.90.48.10.301.0006.2.034.01.301000"/>
    <x v="10"/>
    <x v="9"/>
    <x v="17"/>
    <s v="OUTROS AUXÍLIOS FINANCEIROS A PESSOA FÍSICA"/>
    <s v="TESOURO"/>
    <n v="32374"/>
    <n v="32374"/>
    <n v="32374"/>
  </r>
  <r>
    <n v="2023"/>
    <n v="7"/>
    <s v="60.50.3.3.90.92.10.301.0006.2.034.01.301000"/>
    <x v="10"/>
    <x v="9"/>
    <x v="17"/>
    <s v="DESPESAS DE EXERCÍCIOS ANTERIORES"/>
    <s v="TESOURO"/>
    <n v="664.63"/>
    <n v="664.63"/>
    <n v="0"/>
  </r>
  <r>
    <n v="2023"/>
    <n v="7"/>
    <s v="60.50.3.3.90.92.10.305.0006.2.038.95.303038"/>
    <x v="10"/>
    <x v="9"/>
    <x v="19"/>
    <s v="DESPESAS DE EXERCÍCIOS ANTERIORES"/>
    <s v="TRANSFERENCIAS E CONVENIOS FEDERAIS - VINCULADOS - EXERCÍCIO ANTERIOR"/>
    <n v="-712"/>
    <n v="0"/>
    <n v="0"/>
  </r>
  <r>
    <n v="2023"/>
    <n v="7"/>
    <s v="60.50.4.4.90.52.04.304.0006.2.055.01.303000"/>
    <x v="10"/>
    <x v="0"/>
    <x v="20"/>
    <s v="EQUIPAMENTOS E MATERIAL PERMANENTE"/>
    <s v="TESOURO"/>
    <n v="7676.44"/>
    <n v="0"/>
    <n v="0"/>
  </r>
  <r>
    <n v="2023"/>
    <n v="7"/>
    <s v="60.50.4.4.90.52.10.304.0006.2.037.06.320000"/>
    <x v="10"/>
    <x v="9"/>
    <x v="20"/>
    <s v="EQUIPAMENTOS E MATERIAL PERMANENTE"/>
    <s v="OUTRAS FONTES DE RECURSOS"/>
    <n v="29355"/>
    <n v="2669"/>
    <n v="2669"/>
  </r>
  <r>
    <n v="2023"/>
    <n v="7"/>
    <s v="60.70.3.3.50.39.10.302.0006.2.035.01.302000"/>
    <x v="10"/>
    <x v="9"/>
    <x v="18"/>
    <s v="OUTROS SERVIÇOS DE TERCEIROS -PESSOA JURÍDICA"/>
    <s v="TESOURO"/>
    <n v="0"/>
    <n v="530333.22"/>
    <n v="530333.22"/>
  </r>
  <r>
    <n v="2023"/>
    <n v="7"/>
    <s v="60.70.3.3.50.39.10.302.0006.2.059.01.302000"/>
    <x v="10"/>
    <x v="9"/>
    <x v="18"/>
    <s v="OUTROS SERVIÇOS DE TERCEIROS -PESSOA JURÍDICA"/>
    <s v="TESOURO"/>
    <n v="7760682.75"/>
    <n v="7807722.5999999996"/>
    <n v="7503394.0499999998"/>
  </r>
  <r>
    <n v="2023"/>
    <n v="7"/>
    <s v="60.70.3.3.50.39.10.302.0006.2.059.01.312167"/>
    <x v="10"/>
    <x v="9"/>
    <x v="18"/>
    <s v="OUTROS SERVIÇOS DE TERCEIROS -PESSOA JURÍDICA"/>
    <s v="TESOURO"/>
    <n v="0"/>
    <n v="328070.34000000003"/>
    <n v="328070.34000000003"/>
  </r>
  <r>
    <n v="2023"/>
    <n v="7"/>
    <s v="60.70.3.3.50.39.10.302.0006.2.059.05.302023"/>
    <x v="10"/>
    <x v="9"/>
    <x v="18"/>
    <s v="OUTROS SERVIÇOS DE TERCEIROS -PESSOA JURÍDICA"/>
    <s v="TRANSFERENCIAS E CONVENIOS FEDERAIS - VINCULADOS"/>
    <n v="0"/>
    <n v="2127516.96"/>
    <n v="2127516.96"/>
  </r>
  <r>
    <n v="2023"/>
    <n v="7"/>
    <s v="60.70.3.3.90.30.10.302.0006.2.035.01.302000"/>
    <x v="10"/>
    <x v="9"/>
    <x v="18"/>
    <s v="MATERIAL DE CONSUMO"/>
    <s v="TESOURO"/>
    <n v="52698.19"/>
    <n v="131604.93"/>
    <n v="401389.87"/>
  </r>
  <r>
    <n v="2023"/>
    <n v="7"/>
    <s v="60.70.3.3.90.30.10.302.0006.2.035.05.302023"/>
    <x v="10"/>
    <x v="9"/>
    <x v="18"/>
    <s v="MATERIAL DE CONSUMO"/>
    <s v="TRANSFERENCIAS E CONVENIOS FEDERAIS - VINCULADOS"/>
    <n v="166126.82999999999"/>
    <n v="311264.45"/>
    <n v="485812.66"/>
  </r>
  <r>
    <n v="2023"/>
    <n v="7"/>
    <s v="60.70.3.3.90.32.10.302.0006.2.035.01.302000"/>
    <x v="10"/>
    <x v="9"/>
    <x v="18"/>
    <s v="MATERIAL, BEM OU SERVIÇO PARA DISTRIBUIÇÃO GRATUITA"/>
    <s v="TESOURO"/>
    <n v="512719.73"/>
    <n v="792646.02"/>
    <n v="1231215.2"/>
  </r>
  <r>
    <n v="2023"/>
    <n v="7"/>
    <s v="60.70.3.3.90.32.10.302.0006.2.035.05.302023"/>
    <x v="10"/>
    <x v="9"/>
    <x v="18"/>
    <s v="MATERIAL, BEM OU SERVIÇO PARA DISTRIBUIÇÃO GRATUITA"/>
    <s v="TRANSFERENCIAS E CONVENIOS FEDERAIS - VINCULADOS"/>
    <n v="6895.45"/>
    <n v="661633.72"/>
    <n v="418217.32"/>
  </r>
  <r>
    <n v="2023"/>
    <n v="7"/>
    <s v="60.70.3.3.90.36.10.302.0006.2.035.01.302000"/>
    <x v="10"/>
    <x v="9"/>
    <x v="18"/>
    <s v="OUTROS SERVIÇOS DE TERCEIROS - PESSOA FÍSICA"/>
    <s v="TESOURO"/>
    <n v="0"/>
    <n v="3472"/>
    <n v="3472"/>
  </r>
  <r>
    <n v="2023"/>
    <n v="7"/>
    <s v="60.70.3.3.90.37.10.302.0006.2.035.05.302023"/>
    <x v="10"/>
    <x v="9"/>
    <x v="18"/>
    <s v="LOCAÇÃO DE MÃO-DE-OBRA"/>
    <s v="TRANSFERENCIAS E CONVENIOS FEDERAIS - VINCULADOS"/>
    <n v="0"/>
    <n v="258469.37"/>
    <n v="201619.37"/>
  </r>
  <r>
    <n v="2023"/>
    <n v="7"/>
    <s v="60.70.3.3.90.39.10.302.0006.2.035.01.302000"/>
    <x v="10"/>
    <x v="9"/>
    <x v="18"/>
    <s v="OUTROS SERVIÇOS DE TERCEIROS -  PESSOA JURÍDICA"/>
    <s v="TESOURO"/>
    <n v="-818145.26"/>
    <n v="9909403.1899999995"/>
    <n v="8803568.5800000001"/>
  </r>
  <r>
    <n v="2023"/>
    <n v="7"/>
    <s v="60.70.3.3.90.39.10.302.0006.2.035.05.302023"/>
    <x v="10"/>
    <x v="9"/>
    <x v="18"/>
    <s v="OUTROS SERVIÇOS DE TERCEIROS -  PESSOA JURÍDICA"/>
    <s v="TRANSFERENCIAS E CONVENIOS FEDERAIS - VINCULADOS"/>
    <n v="929434.6"/>
    <n v="3757176.43"/>
    <n v="4021314.74"/>
  </r>
  <r>
    <n v="2023"/>
    <n v="7"/>
    <s v="60.70.3.3.90.39.10.302.0006.2.035.92.302024"/>
    <x v="10"/>
    <x v="9"/>
    <x v="18"/>
    <s v="OUTROS SERVIÇOS DE TERCEIROS -  PESSOA JURÍDICA"/>
    <s v="TRANSFERENCIAS E CONVENIOS ESTADUAIS - VINCULADOS - EXERCÍCIO ANTERIOR"/>
    <n v="40380.879999999997"/>
    <n v="0"/>
    <n v="0"/>
  </r>
  <r>
    <n v="2023"/>
    <n v="7"/>
    <s v="60.70.3.3.90.39.10.302.0006.2.035.95.302023"/>
    <x v="10"/>
    <x v="9"/>
    <x v="18"/>
    <s v="OUTROS SERVIÇOS DE TERCEIROS -  PESSOA JURÍDICA"/>
    <s v="TRANSFERENCIAS E CONVENIOS FEDERAIS - VINCULADOS - EXERCÍCIO ANTERIOR"/>
    <n v="0"/>
    <n v="2823412.13"/>
    <n v="3899478.98"/>
  </r>
  <r>
    <n v="2023"/>
    <n v="7"/>
    <s v="60.70.3.3.90.39.10.302.0006.2.035.95.800023"/>
    <x v="10"/>
    <x v="9"/>
    <x v="18"/>
    <s v="OUTROS SERVIÇOS DE TERCEIROS -  PESSOA JURÍDICA"/>
    <s v="TRANSFERENCIAS E CONVENIOS FEDERAIS - VINCULADOS - EXERCÍCIO ANTERIOR"/>
    <n v="0"/>
    <n v="46820.800000000003"/>
    <n v="46820.800000000003"/>
  </r>
  <r>
    <n v="2023"/>
    <n v="7"/>
    <s v="60.70.3.3.90.40.10.302.0006.2.035.01.302000"/>
    <x v="10"/>
    <x v="9"/>
    <x v="18"/>
    <s v="SERVIÇOS DE TECNOLOGIA DA INFORMAÇÃO E COMUNICAÇÃO - PJ"/>
    <s v="TESOURO"/>
    <n v="0"/>
    <n v="544179.42000000004"/>
    <n v="63432.11"/>
  </r>
  <r>
    <n v="2023"/>
    <n v="7"/>
    <s v="60.70.3.3.90.48.10.302.0006.2.035.05.302023"/>
    <x v="10"/>
    <x v="9"/>
    <x v="18"/>
    <s v="OUTROS AUXÍLIOS FINANCEIROS A PESSOA FÍSICA"/>
    <s v="TRANSFERENCIAS E CONVENIOS FEDERAIS - VINCULADOS"/>
    <n v="22066"/>
    <n v="22066"/>
    <n v="15081"/>
  </r>
  <r>
    <n v="2023"/>
    <n v="7"/>
    <s v="60.70.4.4.90.52.10.302.0006.2.035.01.302000"/>
    <x v="10"/>
    <x v="9"/>
    <x v="18"/>
    <s v="EQUIPAMENTOS E MATERIAL PERMANENTE"/>
    <s v="TESOURO"/>
    <n v="23035.1"/>
    <n v="76243.7"/>
    <n v="61866.6"/>
  </r>
  <r>
    <n v="2023"/>
    <n v="7"/>
    <s v="65.10.3.1.90.11.26.122.0009.2.002.01.400000"/>
    <x v="11"/>
    <x v="10"/>
    <x v="0"/>
    <s v="VENCIMENTOS E VANTAGENS FIXAS -  PESSOAL CIVIL"/>
    <s v="TESOURO"/>
    <n v="785931.88"/>
    <n v="785931.88"/>
    <n v="785931.88"/>
  </r>
  <r>
    <n v="2023"/>
    <n v="7"/>
    <s v="65.10.3.3.90.30.26.122.0009.2.002.01.400000"/>
    <x v="11"/>
    <x v="10"/>
    <x v="0"/>
    <s v="MATERIAL DE CONSUMO"/>
    <s v="TESOURO"/>
    <n v="4793.6000000000004"/>
    <n v="2542.52"/>
    <n v="1513.04"/>
  </r>
  <r>
    <n v="2023"/>
    <n v="7"/>
    <s v="65.10.3.3.90.36.26.122.0009.2.002.01.400000"/>
    <x v="11"/>
    <x v="10"/>
    <x v="0"/>
    <s v="OUTROS SERVIÇOS DE TERCEIROS - PESSOA FÍSICA"/>
    <s v="TESOURO"/>
    <n v="46861.39"/>
    <n v="46861.39"/>
    <n v="41390.129999999997"/>
  </r>
  <r>
    <n v="2023"/>
    <n v="7"/>
    <s v="65.10.3.3.90.39.26.122.0009.2.002.01.400000"/>
    <x v="11"/>
    <x v="10"/>
    <x v="0"/>
    <s v="OUTROS SERVIÇOS DE TERCEIROS -  PESSOA JURÍDICA"/>
    <s v="TESOURO"/>
    <n v="2699317.41"/>
    <n v="2934473.5"/>
    <n v="2038475.34"/>
  </r>
  <r>
    <n v="2023"/>
    <n v="7"/>
    <s v="65.10.3.3.90.39.26.122.0009.2.002.03.700000"/>
    <x v="11"/>
    <x v="10"/>
    <x v="0"/>
    <s v="OUTROS SERVIÇOS DE TERCEIROS -  PESSOA JURÍDICA"/>
    <s v="RECURSOS PROPRIOS DE FUNDOS ESPECIAIS DE DESPESA - VINCULADOS"/>
    <n v="0"/>
    <n v="37500"/>
    <n v="39129.160000000003"/>
  </r>
  <r>
    <n v="2023"/>
    <n v="7"/>
    <s v="65.10.3.3.90.39.26.451.0009.1.016.01.400000"/>
    <x v="11"/>
    <x v="10"/>
    <x v="5"/>
    <s v="OUTROS SERVIÇOS DE TERCEIROS -  PESSOA JURÍDICA"/>
    <s v="TESOURO"/>
    <n v="3"/>
    <n v="203002.43"/>
    <n v="166002.43"/>
  </r>
  <r>
    <n v="2023"/>
    <n v="7"/>
    <s v="65.10.3.3.90.93.26.122.0009.2.002.91.400000"/>
    <x v="11"/>
    <x v="10"/>
    <x v="0"/>
    <s v="INDENIZAÇÕES E RESTITUIÇÕES"/>
    <s v="TESOURO - EXERCÍCIO ANTERIOR"/>
    <n v="5983887.6399999997"/>
    <n v="5983887.6399999997"/>
    <n v="5983887.6399999997"/>
  </r>
  <r>
    <n v="2023"/>
    <n v="7"/>
    <s v="65.10.4.4.90.51.26.122.0009.2.002.03.700000"/>
    <x v="11"/>
    <x v="10"/>
    <x v="0"/>
    <s v="OBRAS E INSTALAÇÕES"/>
    <s v="RECURSOS PROPRIOS DE FUNDOS ESPECIAIS DE DESPESA - VINCULADOS"/>
    <n v="6023862.4000000004"/>
    <n v="0"/>
    <n v="0"/>
  </r>
  <r>
    <n v="2023"/>
    <n v="7"/>
    <s v="65.10.4.4.90.51.26.451.0009.1.012.01.400000"/>
    <x v="11"/>
    <x v="10"/>
    <x v="5"/>
    <s v="OBRAS E INSTALAÇÕES"/>
    <s v="TESOURO"/>
    <n v="253109.9"/>
    <n v="320808.82"/>
    <n v="4101900.97"/>
  </r>
  <r>
    <n v="2023"/>
    <n v="7"/>
    <s v="65.10.4.4.90.51.26.451.0009.1.012.95.800216"/>
    <x v="11"/>
    <x v="10"/>
    <x v="5"/>
    <s v="OBRAS E INSTALAÇÕES"/>
    <s v="TRANSFERENCIAS E CONVENIOS FEDERAIS - VINCULADOS - EXERCÍCIO ANTERIOR"/>
    <n v="2374000"/>
    <n v="0"/>
    <n v="0"/>
  </r>
  <r>
    <n v="2023"/>
    <n v="7"/>
    <s v="65.10.4.4.90.52.26.122.0009.2.002.01.400000"/>
    <x v="11"/>
    <x v="10"/>
    <x v="0"/>
    <s v="EQUIPAMENTOS E MATERIAL PERMANENTE"/>
    <s v="TESOURO"/>
    <n v="0"/>
    <n v="432349.42"/>
    <n v="0"/>
  </r>
  <r>
    <n v="2023"/>
    <n v="7"/>
    <s v="65.20.3.3.20.41.26.122.0009.2.048.03.470000"/>
    <x v="11"/>
    <x v="10"/>
    <x v="0"/>
    <s v="CONTRIBUIÇÕES"/>
    <s v="RECURSOS PROPRIOS DE FUNDOS ESPECIAIS DE DESPESA - VINCULADOS"/>
    <n v="0"/>
    <n v="125676.18"/>
    <n v="0"/>
  </r>
  <r>
    <n v="2023"/>
    <n v="7"/>
    <s v="65.20.3.3.90.30.26.122.0009.2.048.03.400075"/>
    <x v="11"/>
    <x v="10"/>
    <x v="0"/>
    <s v="MATERIAL DE CONSUMO"/>
    <s v="RECURSOS PROPRIOS DE FUNDOS ESPECIAIS DE DESPESA - VINCULADOS"/>
    <n v="1428"/>
    <n v="33095.660000000003"/>
    <n v="27500"/>
  </r>
  <r>
    <n v="2023"/>
    <n v="7"/>
    <s v="65.20.3.3.90.39.26.122.0009.2.048.03.400075"/>
    <x v="11"/>
    <x v="10"/>
    <x v="0"/>
    <s v="OUTROS SERVIÇOS DE TERCEIROS -  PESSOA JURÍDICA"/>
    <s v="RECURSOS PROPRIOS DE FUNDOS ESPECIAIS DE DESPESA - VINCULADOS"/>
    <n v="1895700"/>
    <n v="2037448.93"/>
    <n v="2182416.92"/>
  </r>
  <r>
    <n v="2023"/>
    <n v="7"/>
    <s v="65.20.3.3.90.39.26.122.0009.2.048.03.400115"/>
    <x v="11"/>
    <x v="10"/>
    <x v="0"/>
    <s v="OUTROS SERVIÇOS DE TERCEIROS -  PESSOA JURÍDICA"/>
    <s v="RECURSOS PROPRIOS DE FUNDOS ESPECIAIS DE DESPESA - VINCULADOS"/>
    <n v="0"/>
    <n v="11581.84"/>
    <n v="12434.86"/>
  </r>
  <r>
    <n v="2023"/>
    <n v="7"/>
    <s v="65.20.3.3.90.39.26.122.0009.2.048.93.400170"/>
    <x v="11"/>
    <x v="10"/>
    <x v="0"/>
    <s v="OUTROS SERVIÇOS DE TERCEIROS -  PESSOA JURÍDICA"/>
    <s v="RECURSOS PROPRIOS DE FUNDOS ESPECIAIS DE DESPESA - VINCULADOS - EXERCÍCIO ANTERIOR"/>
    <n v="0"/>
    <n v="582661.48"/>
    <n v="582661.48"/>
  </r>
  <r>
    <n v="2023"/>
    <n v="7"/>
    <s v="65.20.3.3.90.93.26.122.0009.2.048.03.400075"/>
    <x v="11"/>
    <x v="10"/>
    <x v="0"/>
    <s v="INDENIZAÇÕES E RESTITUIÇÕES"/>
    <s v="RECURSOS PROPRIOS DE FUNDOS ESPECIAIS DE DESPESA - VINCULADOS"/>
    <n v="234.78"/>
    <n v="234.78"/>
    <n v="234.78"/>
  </r>
  <r>
    <n v="2023"/>
    <n v="7"/>
    <s v="65.20.4.4.90.51.26.122.0009.2.048.03.400075"/>
    <x v="11"/>
    <x v="10"/>
    <x v="0"/>
    <s v="OBRAS E INSTALAÇÕES"/>
    <s v="RECURSOS PROPRIOS DE FUNDOS ESPECIAIS DE DESPESA - VINCULADOS"/>
    <n v="2436224.6"/>
    <n v="60233.33"/>
    <n v="294131.62"/>
  </r>
  <r>
    <n v="2023"/>
    <n v="7"/>
    <s v="65.20.4.4.90.51.26.122.0009.2.048.93.400075"/>
    <x v="11"/>
    <x v="10"/>
    <x v="0"/>
    <s v="OBRAS E INSTALAÇÕES"/>
    <s v="RECURSOS PROPRIOS DE FUNDOS ESPECIAIS DE DESPESA - VINCULADOS - EXERCÍCIO ANTERIOR"/>
    <n v="0"/>
    <n v="1299699.1499999999"/>
    <n v="2491983.5699999998"/>
  </r>
  <r>
    <n v="2023"/>
    <n v="7"/>
    <s v="65.20.4.4.90.52.26.122.0009.2.048.03.400075"/>
    <x v="11"/>
    <x v="10"/>
    <x v="0"/>
    <s v="EQUIPAMENTOS E MATERIAL PERMANENTE"/>
    <s v="RECURSOS PROPRIOS DE FUNDOS ESPECIAIS DE DESPESA - VINCULADOS"/>
    <n v="0"/>
    <n v="0"/>
    <n v="5654.72"/>
  </r>
  <r>
    <n v="2023"/>
    <n v="7"/>
    <s v="70.10.3.1.90.11.04.122.0007.2.002.01.110000"/>
    <x v="12"/>
    <x v="0"/>
    <x v="0"/>
    <s v="VENCIMENTOS E VANTAGENS FIXAS -  PESSOAL CIVIL"/>
    <s v="TESOURO"/>
    <n v="190452.76"/>
    <n v="190452.76"/>
    <n v="190452.76"/>
  </r>
  <r>
    <n v="2023"/>
    <n v="7"/>
    <s v="70.10.3.3.50.85.19.573.0007.2.039.01.110000"/>
    <x v="12"/>
    <x v="11"/>
    <x v="22"/>
    <s v="CONTRATO DE GESTÃO-"/>
    <s v="TESOURO"/>
    <n v="1185000"/>
    <n v="3920000"/>
    <n v="3920000"/>
  </r>
  <r>
    <n v="2023"/>
    <n v="7"/>
    <s v="70.10.3.3.50.85.19.573.0007.2.039.91.110000"/>
    <x v="12"/>
    <x v="11"/>
    <x v="22"/>
    <s v="CONTRATO DE GESTÃO-"/>
    <s v="TESOURO - EXERCÍCIO ANTERIOR"/>
    <n v="1885000"/>
    <n v="0"/>
    <n v="0"/>
  </r>
  <r>
    <n v="2023"/>
    <n v="7"/>
    <s v="70.10.3.3.90.30.04.122.0007.2.002.01.110000"/>
    <x v="12"/>
    <x v="0"/>
    <x v="0"/>
    <s v="MATERIAL DE CONSUMO"/>
    <s v="TESOURO"/>
    <n v="1642.88"/>
    <n v="1197.3800000000001"/>
    <n v="3315.78"/>
  </r>
  <r>
    <n v="2023"/>
    <n v="7"/>
    <s v="70.10.3.3.90.36.04.122.0007.2.002.01.110000"/>
    <x v="12"/>
    <x v="0"/>
    <x v="0"/>
    <s v="OUTROS SERVIÇOS DE TERCEIROS - PESSOA FÍSICA"/>
    <s v="TESOURO"/>
    <n v="17651.16"/>
    <n v="17651.16"/>
    <n v="17651.16"/>
  </r>
  <r>
    <n v="2023"/>
    <n v="7"/>
    <s v="70.10.3.3.90.39.04.122.0007.2.002.01.110000"/>
    <x v="12"/>
    <x v="0"/>
    <x v="0"/>
    <s v="OUTROS SERVIÇOS DE TERCEIROS -  PESSOA JURÍDICA"/>
    <s v="TESOURO"/>
    <n v="9348.9500000000007"/>
    <n v="64777.84"/>
    <n v="320942.08000000002"/>
  </r>
  <r>
    <n v="2023"/>
    <n v="7"/>
    <s v="70.10.3.3.90.39.11.333.0007.2.040.01.110000"/>
    <x v="12"/>
    <x v="12"/>
    <x v="23"/>
    <s v="OUTROS SERVIÇOS DE TERCEIROS -  PESSOA JURÍDICA"/>
    <s v="TESOURO"/>
    <n v="0"/>
    <n v="0"/>
    <n v="1900"/>
  </r>
  <r>
    <n v="2023"/>
    <n v="7"/>
    <s v="70.10.3.3.90.39.11.333.0007.2.041.01.110000"/>
    <x v="12"/>
    <x v="12"/>
    <x v="23"/>
    <s v="OUTROS SERVIÇOS DE TERCEIROS -  PESSOA JURÍDICA"/>
    <s v="TESOURO"/>
    <n v="48706"/>
    <n v="80102.850000000006"/>
    <n v="66482.509999999995"/>
  </r>
  <r>
    <n v="2023"/>
    <n v="7"/>
    <s v="70.10.3.3.90.39.19.572.0007.2.058.01.110000"/>
    <x v="12"/>
    <x v="11"/>
    <x v="24"/>
    <s v="OUTROS SERVIÇOS DE TERCEIROS -  PESSOA JURÍDICA"/>
    <s v="TESOURO"/>
    <n v="30187.66"/>
    <n v="14445.48"/>
    <n v="22332.639999999999"/>
  </r>
  <r>
    <n v="2023"/>
    <n v="7"/>
    <s v="70.10.3.3.90.39.23.695.0007.2.042.01.110000"/>
    <x v="12"/>
    <x v="13"/>
    <x v="25"/>
    <s v="OUTROS SERVIÇOS DE TERCEIROS -  PESSOA JURÍDICA"/>
    <s v="TESOURO"/>
    <n v="3915.6"/>
    <n v="39836.239999999998"/>
    <n v="32402.639999999999"/>
  </r>
  <r>
    <n v="2023"/>
    <n v="7"/>
    <s v="70.10.4.4.90.52.23.695.0007.2.042.01.110000"/>
    <x v="12"/>
    <x v="13"/>
    <x v="25"/>
    <s v="EQUIPAMENTOS E MATERIAL PERMANENTE"/>
    <s v="TESOURO"/>
    <n v="0"/>
    <n v="1000"/>
    <n v="4924.84"/>
  </r>
  <r>
    <n v="2023"/>
    <n v="7"/>
    <s v="75.10.3.1.90.11.06.181.0010.2.002.01.110000"/>
    <x v="13"/>
    <x v="14"/>
    <x v="26"/>
    <s v="VENCIMENTOS E VANTAGENS FIXAS -  PESSOAL CIVIL"/>
    <s v="TESOURO"/>
    <n v="3056328.54"/>
    <n v="3056328.54"/>
    <n v="3056976.54"/>
  </r>
  <r>
    <n v="2023"/>
    <n v="7"/>
    <s v="75.10.3.1.90.11.06.181.0010.2.065.06.100154"/>
    <x v="13"/>
    <x v="14"/>
    <x v="26"/>
    <s v="VENCIMENTOS E VANTAGENS FIXAS -  PESSOAL CIVIL"/>
    <s v="OUTRAS FONTES DE RECURSOS"/>
    <n v="9660"/>
    <n v="9660"/>
    <n v="9660"/>
  </r>
  <r>
    <n v="2023"/>
    <n v="7"/>
    <s v="75.10.3.1.90.96.06.181.0010.2.065.01.110000"/>
    <x v="13"/>
    <x v="14"/>
    <x v="26"/>
    <s v="RESSARCIMENTO DE DESPESAS DE PESSOAL REQUISITADO"/>
    <s v="TESOURO"/>
    <n v="331148.42"/>
    <n v="331148.42"/>
    <n v="331148.42"/>
  </r>
  <r>
    <n v="2023"/>
    <n v="7"/>
    <s v="75.10.3.3.90.14.06.181.0010.2.002.01.110000"/>
    <x v="13"/>
    <x v="14"/>
    <x v="26"/>
    <s v="DIÁRIAS - PESSOAL CIVIL"/>
    <s v="TESOURO"/>
    <n v="835"/>
    <n v="835"/>
    <n v="835"/>
  </r>
  <r>
    <n v="2023"/>
    <n v="7"/>
    <s v="75.10.3.3.90.30.06.181.0010.2.002.01.110000"/>
    <x v="13"/>
    <x v="14"/>
    <x v="26"/>
    <s v="MATERIAL DE CONSUMO"/>
    <s v="TESOURO"/>
    <n v="3610.86"/>
    <n v="3610.86"/>
    <n v="4610.8599999999997"/>
  </r>
  <r>
    <n v="2023"/>
    <n v="7"/>
    <s v="75.10.3.3.90.30.06.181.0010.2.065.01.110000"/>
    <x v="13"/>
    <x v="14"/>
    <x v="26"/>
    <s v="MATERIAL DE CONSUMO"/>
    <s v="TESOURO"/>
    <n v="0"/>
    <n v="23086.42"/>
    <n v="24591.97"/>
  </r>
  <r>
    <n v="2023"/>
    <n v="7"/>
    <s v="75.10.3.3.90.30.06.181.0010.2.065.91.110000"/>
    <x v="13"/>
    <x v="14"/>
    <x v="26"/>
    <s v="MATERIAL DE CONSUMO"/>
    <s v="TESOURO - EXERCÍCIO ANTERIOR"/>
    <n v="9571.26"/>
    <n v="9946.3799999999992"/>
    <n v="1824.78"/>
  </r>
  <r>
    <n v="2023"/>
    <n v="7"/>
    <s v="75.10.3.3.90.36.06.181.0010.2.002.01.110000"/>
    <x v="13"/>
    <x v="14"/>
    <x v="26"/>
    <s v="OUTROS SERVIÇOS DE TERCEIROS - PESSOA FÍSICA"/>
    <s v="TESOURO"/>
    <n v="9922.27"/>
    <n v="9922.27"/>
    <n v="9922.27"/>
  </r>
  <r>
    <n v="2023"/>
    <n v="7"/>
    <s v="75.10.3.3.90.36.06.181.0010.2.065.01.110000"/>
    <x v="13"/>
    <x v="14"/>
    <x v="26"/>
    <s v="OUTROS SERVIÇOS DE TERCEIROS - PESSOA FÍSICA"/>
    <s v="TESOURO"/>
    <n v="0"/>
    <n v="4400"/>
    <n v="4400"/>
  </r>
  <r>
    <n v="2023"/>
    <n v="7"/>
    <s v="75.10.3.3.90.39.06.181.0010.2.002.01.110000"/>
    <x v="13"/>
    <x v="14"/>
    <x v="26"/>
    <s v="OUTROS SERVIÇOS DE TERCEIROS -  PESSOA JURÍDICA"/>
    <s v="TESOURO"/>
    <n v="1194.2"/>
    <n v="1194.2"/>
    <n v="2744.2"/>
  </r>
  <r>
    <n v="2023"/>
    <n v="7"/>
    <s v="75.10.3.3.90.39.06.181.0010.2.065.01.110000"/>
    <x v="13"/>
    <x v="14"/>
    <x v="26"/>
    <s v="OUTROS SERVIÇOS DE TERCEIROS -  PESSOA JURÍDICA"/>
    <s v="TESOURO"/>
    <n v="-2109.7600000000002"/>
    <n v="428723.32"/>
    <n v="462740.72"/>
  </r>
  <r>
    <n v="2023"/>
    <n v="7"/>
    <s v="75.10.3.3.90.39.06.181.0010.2.065.91.110000"/>
    <x v="13"/>
    <x v="14"/>
    <x v="26"/>
    <s v="OUTROS SERVIÇOS DE TERCEIROS -  PESSOA JURÍDICA"/>
    <s v="TESOURO - EXERCÍCIO ANTERIOR"/>
    <n v="11227.9"/>
    <n v="574454.05000000005"/>
    <n v="177785.35"/>
  </r>
  <r>
    <n v="2023"/>
    <n v="7"/>
    <s v="80.10.3.1.90.07.09.271.0001.2.010.01.110000"/>
    <x v="14"/>
    <x v="15"/>
    <x v="27"/>
    <s v="CONTRIBUIÇÕES A ENTIDADES FECHADAS DE PREVIDÊNCIA"/>
    <s v="TESOURO"/>
    <n v="20"/>
    <n v="20"/>
    <n v="355.87"/>
  </r>
  <r>
    <n v="2023"/>
    <n v="7"/>
    <s v="80.10.3.1.90.11.04.122.0001.2.009.01.110000"/>
    <x v="14"/>
    <x v="0"/>
    <x v="0"/>
    <s v="VENCIMENTOS E VANTAGENS FIXAS -  PESSOAL CIVIL"/>
    <s v="TESOURO"/>
    <n v="1476781.57"/>
    <n v="1476781.57"/>
    <n v="1631581.11"/>
  </r>
  <r>
    <n v="2023"/>
    <n v="7"/>
    <s v="80.10.3.1.90.13.09.271.0001.2.010.01.110000"/>
    <x v="14"/>
    <x v="15"/>
    <x v="27"/>
    <s v="OBRIGAÇÕES PATRONAIS"/>
    <s v="TESOURO"/>
    <n v="512977.48"/>
    <n v="512977.48"/>
    <n v="512977.48"/>
  </r>
  <r>
    <n v="2023"/>
    <n v="7"/>
    <s v="80.10.3.1.90.16.04.122.0001.2.009.01.110000"/>
    <x v="14"/>
    <x v="0"/>
    <x v="0"/>
    <s v="OUTRAS DESPESAS VARIÁVEIS - PESSOAL CIVIL"/>
    <s v="TESOURO"/>
    <n v="482994.73"/>
    <n v="482994.73"/>
    <n v="482994.73"/>
  </r>
  <r>
    <n v="2023"/>
    <n v="7"/>
    <s v="80.10.3.1.90.91.04.122.0001.0.001.01.110000"/>
    <x v="14"/>
    <x v="0"/>
    <x v="0"/>
    <s v="SENTENÇAS JUDICIAIS"/>
    <s v="TESOURO"/>
    <n v="362411.43"/>
    <n v="362411.43"/>
    <n v="362411.43"/>
  </r>
  <r>
    <n v="2023"/>
    <n v="7"/>
    <s v="80.10.3.1.90.94.04.122.0001.2.009.01.110000"/>
    <x v="14"/>
    <x v="0"/>
    <x v="0"/>
    <s v="INDENIZAÇÕES E RESTITUIÇÕES TRABALHISTAS"/>
    <s v="TESOURO"/>
    <n v="443322.75"/>
    <n v="443322.75"/>
    <n v="379669.67"/>
  </r>
  <r>
    <n v="2023"/>
    <n v="7"/>
    <s v="80.10.3.1.91.13.09.271.0001.2.010.01.110000"/>
    <x v="14"/>
    <x v="15"/>
    <x v="27"/>
    <s v="OBRIGAÇÕES PATRONAIS"/>
    <s v="TESOURO"/>
    <n v="2174537.38"/>
    <n v="2174537.38"/>
    <n v="2174537.38"/>
  </r>
  <r>
    <n v="2023"/>
    <n v="7"/>
    <s v="80.10.3.2.90.21.28.843.0001.0.002.01.110000"/>
    <x v="14"/>
    <x v="16"/>
    <x v="28"/>
    <s v="JUROS SOBRE A DÍVIDA POR CONTRATO"/>
    <s v="TESOURO"/>
    <n v="0"/>
    <n v="509979.07"/>
    <n v="510344.83"/>
  </r>
  <r>
    <n v="2023"/>
    <n v="7"/>
    <s v="80.10.3.2.90.21.28.843.0001.0.004.01.110000"/>
    <x v="14"/>
    <x v="16"/>
    <x v="28"/>
    <s v="JUROS SOBRE A DÍVIDA POR CONTRATO"/>
    <s v="TESOURO"/>
    <n v="-3002.25"/>
    <n v="238106.82"/>
    <n v="238106.82"/>
  </r>
  <r>
    <n v="2023"/>
    <n v="7"/>
    <s v="80.10.3.2.91.21.28.843.0001.0.004.01.110000"/>
    <x v="14"/>
    <x v="16"/>
    <x v="28"/>
    <s v="JUROS SOBRE A DÍVIDA POR CONTRATO - INTRA-ORÇAMENTÁRIO"/>
    <s v="TESOURO"/>
    <n v="0"/>
    <n v="796600.13"/>
    <n v="796600.13"/>
  </r>
  <r>
    <n v="2023"/>
    <n v="7"/>
    <s v="80.10.3.3.90.08.04.122.0001.2.008.01.110000"/>
    <x v="14"/>
    <x v="0"/>
    <x v="0"/>
    <s v="OUTROS BENEFÍCIOS ASSISTENCIAIS DO SERVIDOR E DO MILITAR"/>
    <s v="TESOURO"/>
    <n v="42961.36"/>
    <n v="42961.36"/>
    <n v="42961.36"/>
  </r>
  <r>
    <n v="2023"/>
    <n v="7"/>
    <s v="80.10.3.3.90.39.04.122.0001.2.007.01.110000"/>
    <x v="14"/>
    <x v="0"/>
    <x v="0"/>
    <s v="OUTROS SERVIÇOS DE TERCEIROS -  PESSOA JURÍDICA"/>
    <s v="TESOURO"/>
    <n v="-3044231.71"/>
    <n v="1198008.56"/>
    <n v="1220217.2"/>
  </r>
  <r>
    <n v="2023"/>
    <n v="7"/>
    <s v="80.10.3.3.90.39.04.122.0001.2.008.01.110000"/>
    <x v="14"/>
    <x v="0"/>
    <x v="0"/>
    <s v="OUTROS SERVIÇOS DE TERCEIROS -  PESSOA JURÍDICA"/>
    <s v="TESOURO"/>
    <n v="391314.67"/>
    <n v="343895.4"/>
    <n v="226385.21"/>
  </r>
  <r>
    <n v="2023"/>
    <n v="7"/>
    <s v="80.10.3.3.90.46.04.122.0001.2.008.01.110000"/>
    <x v="14"/>
    <x v="0"/>
    <x v="0"/>
    <s v="AUXÍLIO ALIMENTAÇÃO"/>
    <s v="TESOURO"/>
    <n v="765024.74"/>
    <n v="765024.74"/>
    <n v="765024.74"/>
  </r>
  <r>
    <n v="2023"/>
    <n v="7"/>
    <s v="80.10.3.3.90.47.04.122.0001.2.009.01.110000"/>
    <x v="14"/>
    <x v="0"/>
    <x v="0"/>
    <s v="OBRIGAÇÕES TRIBUTÁRIAS E CONTRIBUTIVAS"/>
    <s v="TESOURO"/>
    <n v="2416676.6800000002"/>
    <n v="2416676.6800000002"/>
    <n v="2416676.6800000002"/>
  </r>
  <r>
    <n v="2023"/>
    <n v="7"/>
    <s v="80.10.3.3.90.91.04.122.0001.0.001.01.110000"/>
    <x v="14"/>
    <x v="0"/>
    <x v="0"/>
    <s v="SENTENÇAS JUDICIAIS"/>
    <s v="TESOURO"/>
    <n v="57422.96"/>
    <n v="57422.96"/>
    <n v="57422.96"/>
  </r>
  <r>
    <n v="2023"/>
    <n v="7"/>
    <s v="80.10.3.3.90.93.04.122.0001.0.003.01.110000"/>
    <x v="14"/>
    <x v="0"/>
    <x v="0"/>
    <s v="INDENIZAÇÕES E RESTITUIÇÕES"/>
    <s v="TESOURO"/>
    <n v="17016.080000000002"/>
    <n v="17016.080000000002"/>
    <n v="85464.48"/>
  </r>
  <r>
    <n v="2023"/>
    <n v="7"/>
    <s v="80.10.3.3.90.93.04.122.0001.2.007.01.110000"/>
    <x v="14"/>
    <x v="0"/>
    <x v="0"/>
    <s v="INDENIZAÇÕES E RESTITUIÇÕES"/>
    <s v="TESOURO"/>
    <n v="687309.33"/>
    <n v="687309.33"/>
    <n v="681831.44"/>
  </r>
  <r>
    <n v="2023"/>
    <n v="7"/>
    <s v="80.10.3.3.91.97.09.271.0001.2.010.91.1100000"/>
    <x v="14"/>
    <x v="15"/>
    <x v="27"/>
    <s v="APORTE PARA COBERTURA DO DÉFICIT ATUARIAL DO RPPS"/>
    <s v="TESOURO - EXERCÍCIO ANTERIOR"/>
    <n v="5652756.54"/>
    <n v="5652756.54"/>
    <n v="0"/>
  </r>
  <r>
    <n v="2023"/>
    <n v="7"/>
    <s v="80.10.4.6.90.71.28.843.0001.0.002.01.110000"/>
    <x v="14"/>
    <x v="16"/>
    <x v="28"/>
    <s v="PRINCIPAL DA DÍVIDA CONTRATUAL RESGATADA"/>
    <s v="TESOURO"/>
    <n v="0"/>
    <n v="989343.47"/>
    <n v="988888.16"/>
  </r>
  <r>
    <n v="2023"/>
    <n v="7"/>
    <s v="80.10.4.6.90.71.28.843.0001.0.004.01.110000"/>
    <x v="14"/>
    <x v="16"/>
    <x v="28"/>
    <s v="PRINCIPAL DA DÍVIDA CONTRATUAL RESGATADA"/>
    <s v="TESOURO"/>
    <n v="54"/>
    <n v="231032.95999999999"/>
    <n v="231032.95999999999"/>
  </r>
  <r>
    <n v="2023"/>
    <n v="7"/>
    <s v="80.10.4.6.91.71.28.843.0001.0.004.01.110000"/>
    <x v="14"/>
    <x v="16"/>
    <x v="28"/>
    <s v="PRINCIPAL DA DÍVIDA CONTRATUAL RESGATADA - INTRA-ORÇAMENTÁRIO"/>
    <s v="TESOURO"/>
    <n v="0"/>
    <n v="1538064.72"/>
    <n v="1538064.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D21" firstHeaderRow="0" firstDataRow="1" firstDataCol="1" rowPageCount="1" colPageCount="1"/>
  <pivotFields count="11">
    <pivotField showAll="0"/>
    <pivotField showAll="0"/>
    <pivotField showAll="0"/>
    <pivotField axis="axisPage" showAll="0">
      <items count="16">
        <item x="14"/>
        <item x="0"/>
        <item x="2"/>
        <item x="8"/>
        <item x="6"/>
        <item x="7"/>
        <item x="3"/>
        <item x="5"/>
        <item x="1"/>
        <item x="12"/>
        <item x="9"/>
        <item x="11"/>
        <item x="13"/>
        <item x="10"/>
        <item x="4"/>
        <item t="default"/>
      </items>
    </pivotField>
    <pivotField axis="axisRow" showAll="0">
      <items count="18">
        <item x="0"/>
        <item x="7"/>
        <item x="11"/>
        <item x="13"/>
        <item x="6"/>
        <item x="1"/>
        <item x="2"/>
        <item x="5"/>
        <item x="16"/>
        <item x="4"/>
        <item x="15"/>
        <item x="8"/>
        <item x="9"/>
        <item x="14"/>
        <item x="12"/>
        <item x="10"/>
        <item x="3"/>
        <item t="default"/>
      </items>
    </pivotField>
    <pivotField showAll="0">
      <items count="30">
        <item x="0"/>
        <item x="9"/>
        <item x="14"/>
        <item x="13"/>
        <item x="18"/>
        <item x="17"/>
        <item x="24"/>
        <item x="12"/>
        <item x="1"/>
        <item x="11"/>
        <item x="22"/>
        <item x="2"/>
        <item x="10"/>
        <item x="8"/>
        <item x="7"/>
        <item x="23"/>
        <item x="6"/>
        <item x="5"/>
        <item x="3"/>
        <item x="26"/>
        <item x="4"/>
        <item x="27"/>
        <item x="16"/>
        <item x="28"/>
        <item x="15"/>
        <item x="21"/>
        <item x="25"/>
        <item x="19"/>
        <item x="20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Fields count="1">
    <field x="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Soma de Empenhado (R$)" fld="8" baseField="4" baseItem="0" numFmtId="164"/>
    <dataField name="Soma de Liquidado  (R$)" fld="9" baseField="4" baseItem="0" numFmtId="164"/>
    <dataField name="Soma de Pago  (R$)" fld="10" baseField="4" baseItem="0" numFmtId="16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407"/>
  <sheetViews>
    <sheetView tabSelected="1" topLeftCell="C1" workbookViewId="0">
      <selection activeCell="K1" activeCellId="8" sqref="C1 D1 E1 F1 G1 H1 I1 J1 K1"/>
    </sheetView>
  </sheetViews>
  <sheetFormatPr defaultRowHeight="15" x14ac:dyDescent="0.25"/>
  <cols>
    <col min="3" max="3" width="47.42578125" customWidth="1"/>
    <col min="4" max="4" width="16.28515625" customWidth="1"/>
    <col min="5" max="5" width="26.7109375" customWidth="1"/>
    <col min="6" max="6" width="17.42578125" customWidth="1"/>
    <col min="9" max="9" width="15" customWidth="1"/>
    <col min="10" max="10" width="13.7109375" customWidth="1"/>
    <col min="11" max="11" width="14.57031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2023</v>
      </c>
      <c r="B2">
        <v>7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s="1">
        <v>87131.6</v>
      </c>
      <c r="J2" s="1">
        <v>87131.6</v>
      </c>
      <c r="K2" s="1">
        <v>87131.6</v>
      </c>
    </row>
    <row r="3" spans="1:11" x14ac:dyDescent="0.25">
      <c r="A3">
        <v>2023</v>
      </c>
      <c r="B3">
        <v>7</v>
      </c>
      <c r="C3" t="s">
        <v>17</v>
      </c>
      <c r="D3" t="s">
        <v>18</v>
      </c>
      <c r="E3" t="s">
        <v>13</v>
      </c>
      <c r="F3" t="s">
        <v>14</v>
      </c>
      <c r="G3" t="s">
        <v>15</v>
      </c>
      <c r="H3" t="s">
        <v>16</v>
      </c>
      <c r="I3" s="1">
        <v>769991.93</v>
      </c>
      <c r="J3" s="1">
        <v>769991.93</v>
      </c>
      <c r="K3" s="1">
        <v>777851.31</v>
      </c>
    </row>
    <row r="4" spans="1:11" x14ac:dyDescent="0.25">
      <c r="A4">
        <v>2023</v>
      </c>
      <c r="B4">
        <v>7</v>
      </c>
      <c r="C4" t="s">
        <v>19</v>
      </c>
      <c r="D4" t="s">
        <v>18</v>
      </c>
      <c r="E4" t="s">
        <v>13</v>
      </c>
      <c r="F4" t="s">
        <v>14</v>
      </c>
      <c r="G4" t="s">
        <v>20</v>
      </c>
      <c r="H4" t="s">
        <v>16</v>
      </c>
      <c r="I4">
        <v>0</v>
      </c>
      <c r="J4" s="1">
        <v>216005.59</v>
      </c>
      <c r="K4" s="1">
        <v>216005.59</v>
      </c>
    </row>
    <row r="5" spans="1:11" x14ac:dyDescent="0.25">
      <c r="A5">
        <v>2023</v>
      </c>
      <c r="B5">
        <v>7</v>
      </c>
      <c r="C5" t="s">
        <v>21</v>
      </c>
      <c r="D5" t="s">
        <v>18</v>
      </c>
      <c r="E5" t="s">
        <v>13</v>
      </c>
      <c r="F5" t="s">
        <v>14</v>
      </c>
      <c r="G5" t="s">
        <v>22</v>
      </c>
      <c r="H5" t="s">
        <v>16</v>
      </c>
      <c r="I5">
        <v>-20</v>
      </c>
      <c r="J5">
        <v>-20</v>
      </c>
      <c r="K5">
        <v>-20</v>
      </c>
    </row>
    <row r="6" spans="1:11" x14ac:dyDescent="0.25">
      <c r="A6">
        <v>2023</v>
      </c>
      <c r="B6">
        <v>7</v>
      </c>
      <c r="C6" t="s">
        <v>23</v>
      </c>
      <c r="D6" t="s">
        <v>18</v>
      </c>
      <c r="E6" t="s">
        <v>13</v>
      </c>
      <c r="F6" t="s">
        <v>14</v>
      </c>
      <c r="G6" t="s">
        <v>24</v>
      </c>
      <c r="H6" t="s">
        <v>16</v>
      </c>
      <c r="I6" s="1">
        <v>11492.55</v>
      </c>
      <c r="J6" s="1">
        <v>3356.74</v>
      </c>
      <c r="K6" s="1">
        <v>11478.6</v>
      </c>
    </row>
    <row r="7" spans="1:11" x14ac:dyDescent="0.25">
      <c r="A7">
        <v>2023</v>
      </c>
      <c r="B7">
        <v>7</v>
      </c>
      <c r="C7" t="s">
        <v>25</v>
      </c>
      <c r="D7" t="s">
        <v>18</v>
      </c>
      <c r="E7" t="s">
        <v>13</v>
      </c>
      <c r="F7" t="s">
        <v>14</v>
      </c>
      <c r="G7" t="s">
        <v>24</v>
      </c>
      <c r="H7" t="s">
        <v>26</v>
      </c>
      <c r="I7" s="1">
        <v>7157.28</v>
      </c>
      <c r="J7" s="1">
        <v>29455.42</v>
      </c>
      <c r="K7" s="1">
        <v>32733.41</v>
      </c>
    </row>
    <row r="8" spans="1:11" x14ac:dyDescent="0.25">
      <c r="A8">
        <v>2023</v>
      </c>
      <c r="B8">
        <v>7</v>
      </c>
      <c r="C8" t="s">
        <v>27</v>
      </c>
      <c r="D8" t="s">
        <v>18</v>
      </c>
      <c r="E8" t="s">
        <v>13</v>
      </c>
      <c r="F8" t="s">
        <v>14</v>
      </c>
      <c r="G8" t="s">
        <v>28</v>
      </c>
      <c r="H8" t="s">
        <v>16</v>
      </c>
      <c r="I8" s="1">
        <v>20705.96</v>
      </c>
      <c r="J8" s="1">
        <v>20705.96</v>
      </c>
      <c r="K8" s="1">
        <v>20705.96</v>
      </c>
    </row>
    <row r="9" spans="1:11" x14ac:dyDescent="0.25">
      <c r="A9">
        <v>2023</v>
      </c>
      <c r="B9">
        <v>7</v>
      </c>
      <c r="C9" t="s">
        <v>29</v>
      </c>
      <c r="D9" t="s">
        <v>18</v>
      </c>
      <c r="E9" t="s">
        <v>13</v>
      </c>
      <c r="F9" t="s">
        <v>14</v>
      </c>
      <c r="G9" t="s">
        <v>28</v>
      </c>
      <c r="H9" t="s">
        <v>26</v>
      </c>
      <c r="I9">
        <v>209.08</v>
      </c>
      <c r="J9">
        <v>209.08</v>
      </c>
      <c r="K9">
        <v>209.08</v>
      </c>
    </row>
    <row r="10" spans="1:11" x14ac:dyDescent="0.25">
      <c r="A10">
        <v>2023</v>
      </c>
      <c r="B10">
        <v>7</v>
      </c>
      <c r="C10" t="s">
        <v>30</v>
      </c>
      <c r="D10" t="s">
        <v>18</v>
      </c>
      <c r="E10" t="s">
        <v>13</v>
      </c>
      <c r="F10" t="s">
        <v>14</v>
      </c>
      <c r="G10" t="s">
        <v>31</v>
      </c>
      <c r="H10" t="s">
        <v>16</v>
      </c>
      <c r="I10" s="1">
        <v>123617.57</v>
      </c>
      <c r="J10" s="1">
        <v>152633.04</v>
      </c>
      <c r="K10" s="1">
        <v>169439.1</v>
      </c>
    </row>
    <row r="11" spans="1:11" x14ac:dyDescent="0.25">
      <c r="A11">
        <v>2023</v>
      </c>
      <c r="B11">
        <v>7</v>
      </c>
      <c r="C11" t="s">
        <v>32</v>
      </c>
      <c r="D11" t="s">
        <v>18</v>
      </c>
      <c r="E11" t="s">
        <v>13</v>
      </c>
      <c r="F11" t="s">
        <v>14</v>
      </c>
      <c r="G11" t="s">
        <v>31</v>
      </c>
      <c r="H11" t="s">
        <v>26</v>
      </c>
      <c r="I11" s="1">
        <v>2026739.52</v>
      </c>
      <c r="J11" s="1">
        <v>339680.57</v>
      </c>
      <c r="K11" s="1">
        <v>232342.23</v>
      </c>
    </row>
    <row r="12" spans="1:11" x14ac:dyDescent="0.25">
      <c r="A12">
        <v>2023</v>
      </c>
      <c r="B12">
        <v>7</v>
      </c>
      <c r="C12" t="s">
        <v>33</v>
      </c>
      <c r="D12" t="s">
        <v>18</v>
      </c>
      <c r="E12" t="s">
        <v>13</v>
      </c>
      <c r="F12" t="s">
        <v>14</v>
      </c>
      <c r="G12" t="s">
        <v>31</v>
      </c>
      <c r="H12" t="s">
        <v>16</v>
      </c>
      <c r="I12">
        <v>0</v>
      </c>
      <c r="J12" s="1">
        <v>880568.17</v>
      </c>
      <c r="K12" s="1">
        <v>874845.17</v>
      </c>
    </row>
    <row r="13" spans="1:11" x14ac:dyDescent="0.25">
      <c r="A13">
        <v>2023</v>
      </c>
      <c r="B13">
        <v>7</v>
      </c>
      <c r="C13" t="s">
        <v>34</v>
      </c>
      <c r="D13" t="s">
        <v>18</v>
      </c>
      <c r="E13" t="s">
        <v>13</v>
      </c>
      <c r="F13" t="s">
        <v>14</v>
      </c>
      <c r="G13" t="s">
        <v>31</v>
      </c>
      <c r="H13" t="s">
        <v>26</v>
      </c>
      <c r="I13" s="1">
        <v>4900000</v>
      </c>
      <c r="J13">
        <v>0</v>
      </c>
      <c r="K13">
        <v>0</v>
      </c>
    </row>
    <row r="14" spans="1:11" x14ac:dyDescent="0.25">
      <c r="A14">
        <v>2023</v>
      </c>
      <c r="B14">
        <v>7</v>
      </c>
      <c r="C14" t="s">
        <v>35</v>
      </c>
      <c r="D14" t="s">
        <v>18</v>
      </c>
      <c r="E14" t="s">
        <v>13</v>
      </c>
      <c r="F14" t="s">
        <v>14</v>
      </c>
      <c r="G14" t="s">
        <v>31</v>
      </c>
      <c r="H14" t="s">
        <v>16</v>
      </c>
      <c r="I14">
        <v>0</v>
      </c>
      <c r="J14" s="1">
        <v>657948.05000000005</v>
      </c>
      <c r="K14" s="1">
        <v>657948.05000000005</v>
      </c>
    </row>
    <row r="15" spans="1:11" x14ac:dyDescent="0.25">
      <c r="A15">
        <v>2023</v>
      </c>
      <c r="B15">
        <v>7</v>
      </c>
      <c r="C15" t="s">
        <v>36</v>
      </c>
      <c r="D15" t="s">
        <v>18</v>
      </c>
      <c r="E15" t="s">
        <v>37</v>
      </c>
      <c r="F15" t="s">
        <v>38</v>
      </c>
      <c r="G15" t="s">
        <v>31</v>
      </c>
      <c r="H15" t="s">
        <v>26</v>
      </c>
      <c r="I15">
        <v>0</v>
      </c>
      <c r="J15">
        <v>0</v>
      </c>
      <c r="K15" s="1">
        <v>137936.79999999999</v>
      </c>
    </row>
    <row r="16" spans="1:11" x14ac:dyDescent="0.25">
      <c r="A16">
        <v>2023</v>
      </c>
      <c r="B16">
        <v>7</v>
      </c>
      <c r="C16" t="s">
        <v>39</v>
      </c>
      <c r="D16" t="s">
        <v>18</v>
      </c>
      <c r="E16" t="s">
        <v>37</v>
      </c>
      <c r="F16" t="s">
        <v>38</v>
      </c>
      <c r="G16" t="s">
        <v>40</v>
      </c>
      <c r="H16" t="s">
        <v>26</v>
      </c>
      <c r="I16">
        <v>0</v>
      </c>
      <c r="J16">
        <v>0</v>
      </c>
      <c r="K16" s="1">
        <v>546967</v>
      </c>
    </row>
    <row r="17" spans="1:11" x14ac:dyDescent="0.25">
      <c r="A17">
        <v>2023</v>
      </c>
      <c r="B17">
        <v>7</v>
      </c>
      <c r="C17" t="s">
        <v>41</v>
      </c>
      <c r="D17" t="s">
        <v>18</v>
      </c>
      <c r="E17" t="s">
        <v>13</v>
      </c>
      <c r="F17" t="s">
        <v>14</v>
      </c>
      <c r="G17" t="s">
        <v>42</v>
      </c>
      <c r="H17" t="s">
        <v>16</v>
      </c>
      <c r="I17" s="1">
        <v>1580</v>
      </c>
      <c r="J17">
        <v>0</v>
      </c>
      <c r="K17">
        <v>568.54</v>
      </c>
    </row>
    <row r="18" spans="1:11" x14ac:dyDescent="0.25">
      <c r="A18">
        <v>2023</v>
      </c>
      <c r="B18">
        <v>7</v>
      </c>
      <c r="C18" t="s">
        <v>43</v>
      </c>
      <c r="D18" t="s">
        <v>18</v>
      </c>
      <c r="E18" t="s">
        <v>13</v>
      </c>
      <c r="F18" t="s">
        <v>14</v>
      </c>
      <c r="G18" t="s">
        <v>42</v>
      </c>
      <c r="H18" t="s">
        <v>26</v>
      </c>
      <c r="I18" s="1">
        <v>2150</v>
      </c>
      <c r="J18" s="1">
        <v>22305</v>
      </c>
      <c r="K18">
        <v>0</v>
      </c>
    </row>
    <row r="19" spans="1:11" x14ac:dyDescent="0.25">
      <c r="A19">
        <v>2023</v>
      </c>
      <c r="B19">
        <v>7</v>
      </c>
      <c r="C19" t="s">
        <v>44</v>
      </c>
      <c r="D19" t="s">
        <v>45</v>
      </c>
      <c r="E19" t="s">
        <v>13</v>
      </c>
      <c r="F19" t="s">
        <v>14</v>
      </c>
      <c r="G19" t="s">
        <v>15</v>
      </c>
      <c r="H19" t="s">
        <v>16</v>
      </c>
      <c r="I19" s="1">
        <v>865506.74</v>
      </c>
      <c r="J19" s="1">
        <v>865506.74</v>
      </c>
      <c r="K19" s="1">
        <v>865506.74</v>
      </c>
    </row>
    <row r="20" spans="1:11" x14ac:dyDescent="0.25">
      <c r="A20">
        <v>2023</v>
      </c>
      <c r="B20">
        <v>7</v>
      </c>
      <c r="C20" t="s">
        <v>46</v>
      </c>
      <c r="D20" t="s">
        <v>45</v>
      </c>
      <c r="E20" t="s">
        <v>13</v>
      </c>
      <c r="F20" t="s">
        <v>14</v>
      </c>
      <c r="G20" t="s">
        <v>24</v>
      </c>
      <c r="H20" t="s">
        <v>16</v>
      </c>
      <c r="I20">
        <v>810</v>
      </c>
      <c r="J20">
        <v>810</v>
      </c>
      <c r="K20">
        <v>512.44000000000005</v>
      </c>
    </row>
    <row r="21" spans="1:11" x14ac:dyDescent="0.25">
      <c r="A21">
        <v>2023</v>
      </c>
      <c r="B21">
        <v>7</v>
      </c>
      <c r="C21" t="s">
        <v>47</v>
      </c>
      <c r="D21" t="s">
        <v>45</v>
      </c>
      <c r="E21" t="s">
        <v>13</v>
      </c>
      <c r="F21" t="s">
        <v>14</v>
      </c>
      <c r="G21" t="s">
        <v>24</v>
      </c>
      <c r="H21" t="s">
        <v>48</v>
      </c>
      <c r="I21" s="1">
        <v>3299.52</v>
      </c>
      <c r="J21" s="1">
        <v>15384</v>
      </c>
      <c r="K21">
        <v>635.98</v>
      </c>
    </row>
    <row r="22" spans="1:11" x14ac:dyDescent="0.25">
      <c r="A22">
        <v>2023</v>
      </c>
      <c r="B22">
        <v>7</v>
      </c>
      <c r="C22" t="s">
        <v>49</v>
      </c>
      <c r="D22" t="s">
        <v>45</v>
      </c>
      <c r="E22" t="s">
        <v>50</v>
      </c>
      <c r="F22" t="s">
        <v>51</v>
      </c>
      <c r="G22" t="s">
        <v>24</v>
      </c>
      <c r="H22" t="s">
        <v>52</v>
      </c>
      <c r="I22">
        <v>0</v>
      </c>
      <c r="J22">
        <v>116</v>
      </c>
      <c r="K22">
        <v>0</v>
      </c>
    </row>
    <row r="23" spans="1:11" x14ac:dyDescent="0.25">
      <c r="A23">
        <v>2023</v>
      </c>
      <c r="B23">
        <v>7</v>
      </c>
      <c r="C23" t="s">
        <v>53</v>
      </c>
      <c r="D23" t="s">
        <v>45</v>
      </c>
      <c r="E23" t="s">
        <v>13</v>
      </c>
      <c r="F23" t="s">
        <v>14</v>
      </c>
      <c r="G23" t="s">
        <v>28</v>
      </c>
      <c r="H23" t="s">
        <v>16</v>
      </c>
      <c r="I23" s="1">
        <v>58691.19</v>
      </c>
      <c r="J23" s="1">
        <v>58691.19</v>
      </c>
      <c r="K23" s="1">
        <v>59610.26</v>
      </c>
    </row>
    <row r="24" spans="1:11" x14ac:dyDescent="0.25">
      <c r="A24">
        <v>2023</v>
      </c>
      <c r="B24">
        <v>7</v>
      </c>
      <c r="C24" t="s">
        <v>54</v>
      </c>
      <c r="D24" t="s">
        <v>45</v>
      </c>
      <c r="E24" t="s">
        <v>50</v>
      </c>
      <c r="F24" t="s">
        <v>51</v>
      </c>
      <c r="G24" t="s">
        <v>28</v>
      </c>
      <c r="H24" t="s">
        <v>55</v>
      </c>
      <c r="I24" s="1">
        <v>9870.49</v>
      </c>
      <c r="J24" s="1">
        <v>9870.49</v>
      </c>
      <c r="K24" s="1">
        <v>9870.49</v>
      </c>
    </row>
    <row r="25" spans="1:11" x14ac:dyDescent="0.25">
      <c r="A25">
        <v>2023</v>
      </c>
      <c r="B25">
        <v>7</v>
      </c>
      <c r="C25" t="s">
        <v>56</v>
      </c>
      <c r="D25" t="s">
        <v>45</v>
      </c>
      <c r="E25" t="s">
        <v>13</v>
      </c>
      <c r="F25" t="s">
        <v>14</v>
      </c>
      <c r="G25" t="s">
        <v>31</v>
      </c>
      <c r="H25" t="s">
        <v>16</v>
      </c>
      <c r="I25" s="1">
        <v>37777.68</v>
      </c>
      <c r="J25" s="1">
        <v>36687.26</v>
      </c>
      <c r="K25" s="1">
        <v>36745.93</v>
      </c>
    </row>
    <row r="26" spans="1:11" x14ac:dyDescent="0.25">
      <c r="A26">
        <v>2023</v>
      </c>
      <c r="B26">
        <v>7</v>
      </c>
      <c r="C26" t="s">
        <v>57</v>
      </c>
      <c r="D26" t="s">
        <v>45</v>
      </c>
      <c r="E26" t="s">
        <v>13</v>
      </c>
      <c r="F26" t="s">
        <v>14</v>
      </c>
      <c r="G26" t="s">
        <v>31</v>
      </c>
      <c r="H26" t="s">
        <v>55</v>
      </c>
      <c r="I26" s="1">
        <v>212558.15</v>
      </c>
      <c r="J26">
        <v>0</v>
      </c>
      <c r="K26">
        <v>0</v>
      </c>
    </row>
    <row r="27" spans="1:11" x14ac:dyDescent="0.25">
      <c r="A27">
        <v>2023</v>
      </c>
      <c r="B27">
        <v>7</v>
      </c>
      <c r="C27" t="s">
        <v>58</v>
      </c>
      <c r="D27" t="s">
        <v>45</v>
      </c>
      <c r="E27" t="s">
        <v>13</v>
      </c>
      <c r="F27" t="s">
        <v>14</v>
      </c>
      <c r="G27" t="s">
        <v>31</v>
      </c>
      <c r="H27" t="s">
        <v>48</v>
      </c>
      <c r="I27" s="1">
        <v>39927.839999999997</v>
      </c>
      <c r="J27">
        <v>0</v>
      </c>
      <c r="K27">
        <v>0</v>
      </c>
    </row>
    <row r="28" spans="1:11" x14ac:dyDescent="0.25">
      <c r="A28">
        <v>2023</v>
      </c>
      <c r="B28">
        <v>7</v>
      </c>
      <c r="C28" t="s">
        <v>59</v>
      </c>
      <c r="D28" t="s">
        <v>45</v>
      </c>
      <c r="E28" t="s">
        <v>50</v>
      </c>
      <c r="F28" t="s">
        <v>51</v>
      </c>
      <c r="G28" t="s">
        <v>31</v>
      </c>
      <c r="H28" t="s">
        <v>52</v>
      </c>
      <c r="I28" s="1">
        <v>255000</v>
      </c>
      <c r="J28" s="1">
        <v>98200.7</v>
      </c>
      <c r="K28" s="1">
        <v>114800.7</v>
      </c>
    </row>
    <row r="29" spans="1:11" x14ac:dyDescent="0.25">
      <c r="A29">
        <v>2023</v>
      </c>
      <c r="B29">
        <v>7</v>
      </c>
      <c r="C29" t="s">
        <v>60</v>
      </c>
      <c r="D29" t="s">
        <v>45</v>
      </c>
      <c r="E29" t="s">
        <v>50</v>
      </c>
      <c r="F29" t="s">
        <v>51</v>
      </c>
      <c r="G29" t="s">
        <v>31</v>
      </c>
      <c r="H29" t="s">
        <v>55</v>
      </c>
      <c r="I29">
        <v>780.46</v>
      </c>
      <c r="J29" s="1">
        <v>4676.6000000000004</v>
      </c>
      <c r="K29" s="1">
        <v>4676.6000000000004</v>
      </c>
    </row>
    <row r="30" spans="1:11" x14ac:dyDescent="0.25">
      <c r="A30">
        <v>2023</v>
      </c>
      <c r="B30">
        <v>7</v>
      </c>
      <c r="C30" t="s">
        <v>61</v>
      </c>
      <c r="D30" t="s">
        <v>45</v>
      </c>
      <c r="E30" t="s">
        <v>50</v>
      </c>
      <c r="F30" t="s">
        <v>51</v>
      </c>
      <c r="G30" t="s">
        <v>62</v>
      </c>
      <c r="H30" t="s">
        <v>16</v>
      </c>
      <c r="I30">
        <v>0</v>
      </c>
      <c r="J30" s="1">
        <v>53726.12</v>
      </c>
      <c r="K30" s="1">
        <v>53726.12</v>
      </c>
    </row>
    <row r="31" spans="1:11" x14ac:dyDescent="0.25">
      <c r="A31">
        <v>2023</v>
      </c>
      <c r="B31">
        <v>7</v>
      </c>
      <c r="C31" t="s">
        <v>63</v>
      </c>
      <c r="D31" t="s">
        <v>45</v>
      </c>
      <c r="E31" t="s">
        <v>13</v>
      </c>
      <c r="F31" t="s">
        <v>14</v>
      </c>
      <c r="G31" t="s">
        <v>42</v>
      </c>
      <c r="H31" t="s">
        <v>48</v>
      </c>
      <c r="I31">
        <v>0</v>
      </c>
      <c r="J31" s="1">
        <v>2060</v>
      </c>
      <c r="K31" s="1">
        <v>2060</v>
      </c>
    </row>
    <row r="32" spans="1:11" x14ac:dyDescent="0.25">
      <c r="A32">
        <v>2023</v>
      </c>
      <c r="B32">
        <v>7</v>
      </c>
      <c r="C32" t="s">
        <v>64</v>
      </c>
      <c r="D32" t="s">
        <v>45</v>
      </c>
      <c r="E32" t="s">
        <v>50</v>
      </c>
      <c r="F32" t="s">
        <v>51</v>
      </c>
      <c r="G32" t="s">
        <v>42</v>
      </c>
      <c r="H32" t="s">
        <v>52</v>
      </c>
      <c r="I32">
        <v>453.3</v>
      </c>
      <c r="J32">
        <v>153.30000000000001</v>
      </c>
      <c r="K32">
        <v>0</v>
      </c>
    </row>
    <row r="33" spans="1:11" x14ac:dyDescent="0.25">
      <c r="A33">
        <v>2023</v>
      </c>
      <c r="B33">
        <v>7</v>
      </c>
      <c r="C33" t="s">
        <v>65</v>
      </c>
      <c r="D33" t="s">
        <v>66</v>
      </c>
      <c r="E33" t="s">
        <v>13</v>
      </c>
      <c r="F33" t="s">
        <v>14</v>
      </c>
      <c r="G33" t="s">
        <v>15</v>
      </c>
      <c r="H33" t="s">
        <v>16</v>
      </c>
      <c r="I33" s="1">
        <v>1837588.48</v>
      </c>
      <c r="J33" s="1">
        <v>1837588.48</v>
      </c>
      <c r="K33" s="1">
        <v>1838371.48</v>
      </c>
    </row>
    <row r="34" spans="1:11" x14ac:dyDescent="0.25">
      <c r="A34">
        <v>2023</v>
      </c>
      <c r="B34">
        <v>7</v>
      </c>
      <c r="C34" t="s">
        <v>67</v>
      </c>
      <c r="D34" t="s">
        <v>66</v>
      </c>
      <c r="E34" t="s">
        <v>13</v>
      </c>
      <c r="F34" t="s">
        <v>14</v>
      </c>
      <c r="G34" t="s">
        <v>24</v>
      </c>
      <c r="H34" t="s">
        <v>16</v>
      </c>
      <c r="I34" s="1">
        <v>326962.48</v>
      </c>
      <c r="J34" s="1">
        <v>348591.12</v>
      </c>
      <c r="K34" s="1">
        <v>331669.99</v>
      </c>
    </row>
    <row r="35" spans="1:11" x14ac:dyDescent="0.25">
      <c r="A35">
        <v>2023</v>
      </c>
      <c r="B35">
        <v>7</v>
      </c>
      <c r="C35" t="s">
        <v>68</v>
      </c>
      <c r="D35" t="s">
        <v>66</v>
      </c>
      <c r="E35" t="s">
        <v>13</v>
      </c>
      <c r="F35" t="s">
        <v>14</v>
      </c>
      <c r="G35" t="s">
        <v>28</v>
      </c>
      <c r="H35" t="s">
        <v>16</v>
      </c>
      <c r="I35" s="1">
        <v>58847.88</v>
      </c>
      <c r="J35" s="1">
        <v>58847.88</v>
      </c>
      <c r="K35" s="1">
        <v>59832.25</v>
      </c>
    </row>
    <row r="36" spans="1:11" x14ac:dyDescent="0.25">
      <c r="A36">
        <v>2023</v>
      </c>
      <c r="B36">
        <v>7</v>
      </c>
      <c r="C36" t="s">
        <v>69</v>
      </c>
      <c r="D36" t="s">
        <v>66</v>
      </c>
      <c r="E36" t="s">
        <v>13</v>
      </c>
      <c r="F36" t="s">
        <v>14</v>
      </c>
      <c r="G36" t="s">
        <v>31</v>
      </c>
      <c r="H36" t="s">
        <v>16</v>
      </c>
      <c r="I36" s="1">
        <v>29036.73</v>
      </c>
      <c r="J36" s="1">
        <v>33958.129999999997</v>
      </c>
      <c r="K36" s="1">
        <v>50933.54</v>
      </c>
    </row>
    <row r="37" spans="1:11" x14ac:dyDescent="0.25">
      <c r="A37">
        <v>2023</v>
      </c>
      <c r="B37">
        <v>7</v>
      </c>
      <c r="C37" t="s">
        <v>70</v>
      </c>
      <c r="D37" t="s">
        <v>66</v>
      </c>
      <c r="E37" t="s">
        <v>13</v>
      </c>
      <c r="F37" t="s">
        <v>14</v>
      </c>
      <c r="G37" t="s">
        <v>31</v>
      </c>
      <c r="H37" t="s">
        <v>16</v>
      </c>
      <c r="I37" s="1">
        <v>323675.88</v>
      </c>
      <c r="J37" s="1">
        <v>1507615.82</v>
      </c>
      <c r="K37" s="1">
        <v>1270488.77</v>
      </c>
    </row>
    <row r="38" spans="1:11" x14ac:dyDescent="0.25">
      <c r="A38">
        <v>2023</v>
      </c>
      <c r="B38">
        <v>7</v>
      </c>
      <c r="C38" t="s">
        <v>71</v>
      </c>
      <c r="D38" t="s">
        <v>66</v>
      </c>
      <c r="E38" t="s">
        <v>13</v>
      </c>
      <c r="F38" t="s">
        <v>14</v>
      </c>
      <c r="G38" t="s">
        <v>31</v>
      </c>
      <c r="H38" t="s">
        <v>26</v>
      </c>
      <c r="I38" s="1">
        <v>735000</v>
      </c>
      <c r="J38">
        <v>0</v>
      </c>
      <c r="K38">
        <v>0</v>
      </c>
    </row>
    <row r="39" spans="1:11" x14ac:dyDescent="0.25">
      <c r="A39">
        <v>2023</v>
      </c>
      <c r="B39">
        <v>7</v>
      </c>
      <c r="C39" t="s">
        <v>72</v>
      </c>
      <c r="D39" t="s">
        <v>66</v>
      </c>
      <c r="E39" t="s">
        <v>13</v>
      </c>
      <c r="F39" t="s">
        <v>14</v>
      </c>
      <c r="G39" t="s">
        <v>62</v>
      </c>
      <c r="H39" t="s">
        <v>16</v>
      </c>
      <c r="I39" s="1">
        <v>8400</v>
      </c>
      <c r="J39" s="1">
        <v>2893486.07</v>
      </c>
      <c r="K39" s="1">
        <v>2886473.04</v>
      </c>
    </row>
    <row r="40" spans="1:11" x14ac:dyDescent="0.25">
      <c r="A40">
        <v>2023</v>
      </c>
      <c r="B40">
        <v>7</v>
      </c>
      <c r="C40" t="s">
        <v>73</v>
      </c>
      <c r="D40" t="s">
        <v>66</v>
      </c>
      <c r="E40" t="s">
        <v>13</v>
      </c>
      <c r="F40" t="s">
        <v>14</v>
      </c>
      <c r="G40" t="s">
        <v>42</v>
      </c>
      <c r="H40" t="s">
        <v>16</v>
      </c>
      <c r="I40" s="1">
        <v>9636.15</v>
      </c>
      <c r="J40" s="1">
        <v>2090</v>
      </c>
      <c r="K40" s="1">
        <v>1588.4</v>
      </c>
    </row>
    <row r="41" spans="1:11" x14ac:dyDescent="0.25">
      <c r="A41">
        <v>2023</v>
      </c>
      <c r="B41">
        <v>7</v>
      </c>
      <c r="C41" t="s">
        <v>74</v>
      </c>
      <c r="D41" t="s">
        <v>75</v>
      </c>
      <c r="E41" t="s">
        <v>76</v>
      </c>
      <c r="F41" t="s">
        <v>77</v>
      </c>
      <c r="G41" t="s">
        <v>15</v>
      </c>
      <c r="H41" t="s">
        <v>16</v>
      </c>
      <c r="I41" s="1">
        <v>541440.98</v>
      </c>
      <c r="J41" s="1">
        <v>541440.98</v>
      </c>
      <c r="K41" s="1">
        <v>541440.98</v>
      </c>
    </row>
    <row r="42" spans="1:11" x14ac:dyDescent="0.25">
      <c r="A42">
        <v>2023</v>
      </c>
      <c r="B42">
        <v>7</v>
      </c>
      <c r="C42" t="s">
        <v>78</v>
      </c>
      <c r="D42" t="s">
        <v>75</v>
      </c>
      <c r="E42" t="s">
        <v>79</v>
      </c>
      <c r="F42" t="s">
        <v>80</v>
      </c>
      <c r="G42" t="s">
        <v>81</v>
      </c>
      <c r="H42" t="s">
        <v>48</v>
      </c>
      <c r="I42">
        <v>0</v>
      </c>
      <c r="J42" s="1">
        <v>24957.119999999999</v>
      </c>
      <c r="K42" s="1">
        <v>22157.119999999999</v>
      </c>
    </row>
    <row r="43" spans="1:11" x14ac:dyDescent="0.25">
      <c r="A43">
        <v>2023</v>
      </c>
      <c r="B43">
        <v>7</v>
      </c>
      <c r="C43" t="s">
        <v>82</v>
      </c>
      <c r="D43" t="s">
        <v>75</v>
      </c>
      <c r="E43" t="s">
        <v>76</v>
      </c>
      <c r="F43" t="s">
        <v>77</v>
      </c>
      <c r="G43" t="s">
        <v>83</v>
      </c>
      <c r="H43" t="s">
        <v>16</v>
      </c>
      <c r="I43">
        <v>0</v>
      </c>
      <c r="J43" s="1">
        <v>296769.71999999997</v>
      </c>
      <c r="K43" s="1">
        <v>296769.71999999997</v>
      </c>
    </row>
    <row r="44" spans="1:11" x14ac:dyDescent="0.25">
      <c r="A44">
        <v>2023</v>
      </c>
      <c r="B44">
        <v>7</v>
      </c>
      <c r="C44" t="s">
        <v>84</v>
      </c>
      <c r="D44" t="s">
        <v>75</v>
      </c>
      <c r="E44" t="s">
        <v>76</v>
      </c>
      <c r="F44" t="s">
        <v>77</v>
      </c>
      <c r="G44" t="s">
        <v>24</v>
      </c>
      <c r="H44" t="s">
        <v>16</v>
      </c>
      <c r="I44" s="1">
        <v>4653.8100000000004</v>
      </c>
      <c r="J44" s="1">
        <v>4026.96</v>
      </c>
      <c r="K44" s="1">
        <v>1690.68</v>
      </c>
    </row>
    <row r="45" spans="1:11" x14ac:dyDescent="0.25">
      <c r="A45">
        <v>2023</v>
      </c>
      <c r="B45">
        <v>7</v>
      </c>
      <c r="C45" t="s">
        <v>85</v>
      </c>
      <c r="D45" t="s">
        <v>75</v>
      </c>
      <c r="E45" t="s">
        <v>79</v>
      </c>
      <c r="F45" t="s">
        <v>80</v>
      </c>
      <c r="G45" t="s">
        <v>24</v>
      </c>
      <c r="H45" t="s">
        <v>55</v>
      </c>
      <c r="I45" s="1">
        <v>7084.98</v>
      </c>
      <c r="J45">
        <v>0</v>
      </c>
      <c r="K45" s="1">
        <v>17000</v>
      </c>
    </row>
    <row r="46" spans="1:11" x14ac:dyDescent="0.25">
      <c r="A46">
        <v>2023</v>
      </c>
      <c r="B46">
        <v>7</v>
      </c>
      <c r="C46" t="s">
        <v>86</v>
      </c>
      <c r="D46" t="s">
        <v>75</v>
      </c>
      <c r="E46" t="s">
        <v>76</v>
      </c>
      <c r="F46" t="s">
        <v>77</v>
      </c>
      <c r="G46" t="s">
        <v>28</v>
      </c>
      <c r="H46" t="s">
        <v>16</v>
      </c>
      <c r="I46" s="1">
        <v>38470.75</v>
      </c>
      <c r="J46" s="1">
        <v>38470.75</v>
      </c>
      <c r="K46" s="1">
        <v>38470.75</v>
      </c>
    </row>
    <row r="47" spans="1:11" x14ac:dyDescent="0.25">
      <c r="A47">
        <v>2023</v>
      </c>
      <c r="B47">
        <v>7</v>
      </c>
      <c r="C47" t="s">
        <v>87</v>
      </c>
      <c r="D47" t="s">
        <v>75</v>
      </c>
      <c r="E47" t="s">
        <v>76</v>
      </c>
      <c r="F47" t="s">
        <v>77</v>
      </c>
      <c r="G47" t="s">
        <v>31</v>
      </c>
      <c r="H47" t="s">
        <v>16</v>
      </c>
      <c r="I47" s="1">
        <v>64487.55</v>
      </c>
      <c r="J47" s="1">
        <v>50923.5</v>
      </c>
      <c r="K47" s="1">
        <v>36185.18</v>
      </c>
    </row>
    <row r="48" spans="1:11" x14ac:dyDescent="0.25">
      <c r="A48">
        <v>2023</v>
      </c>
      <c r="B48">
        <v>7</v>
      </c>
      <c r="C48" t="s">
        <v>88</v>
      </c>
      <c r="D48" t="s">
        <v>75</v>
      </c>
      <c r="E48" t="s">
        <v>76</v>
      </c>
      <c r="F48" t="s">
        <v>77</v>
      </c>
      <c r="G48" t="s">
        <v>31</v>
      </c>
      <c r="H48" t="s">
        <v>16</v>
      </c>
      <c r="I48">
        <v>0</v>
      </c>
      <c r="J48" s="1">
        <v>588323.81000000006</v>
      </c>
      <c r="K48" s="1">
        <v>588323.81000000006</v>
      </c>
    </row>
    <row r="49" spans="1:11" x14ac:dyDescent="0.25">
      <c r="A49">
        <v>2023</v>
      </c>
      <c r="B49">
        <v>7</v>
      </c>
      <c r="C49" t="s">
        <v>89</v>
      </c>
      <c r="D49" t="s">
        <v>75</v>
      </c>
      <c r="E49" t="s">
        <v>76</v>
      </c>
      <c r="F49" t="s">
        <v>77</v>
      </c>
      <c r="G49" t="s">
        <v>31</v>
      </c>
      <c r="H49" t="s">
        <v>55</v>
      </c>
      <c r="I49">
        <v>0</v>
      </c>
      <c r="J49" s="1">
        <v>29647.06</v>
      </c>
      <c r="K49" s="1">
        <v>29647.05</v>
      </c>
    </row>
    <row r="50" spans="1:11" x14ac:dyDescent="0.25">
      <c r="A50">
        <v>2023</v>
      </c>
      <c r="B50">
        <v>7</v>
      </c>
      <c r="C50" t="s">
        <v>90</v>
      </c>
      <c r="D50" t="s">
        <v>75</v>
      </c>
      <c r="E50" t="s">
        <v>76</v>
      </c>
      <c r="F50" t="s">
        <v>77</v>
      </c>
      <c r="G50" t="s">
        <v>31</v>
      </c>
      <c r="H50" t="s">
        <v>55</v>
      </c>
      <c r="I50" s="1">
        <v>66011.14</v>
      </c>
      <c r="J50" s="1">
        <v>337217.78</v>
      </c>
      <c r="K50" s="1">
        <v>257399.6</v>
      </c>
    </row>
    <row r="51" spans="1:11" x14ac:dyDescent="0.25">
      <c r="A51">
        <v>2023</v>
      </c>
      <c r="B51">
        <v>7</v>
      </c>
      <c r="C51" t="s">
        <v>91</v>
      </c>
      <c r="D51" t="s">
        <v>75</v>
      </c>
      <c r="E51" t="s">
        <v>76</v>
      </c>
      <c r="F51" t="s">
        <v>77</v>
      </c>
      <c r="G51" t="s">
        <v>31</v>
      </c>
      <c r="H51" t="s">
        <v>48</v>
      </c>
      <c r="I51">
        <v>0</v>
      </c>
      <c r="J51">
        <v>0</v>
      </c>
      <c r="K51">
        <v>0.04</v>
      </c>
    </row>
    <row r="52" spans="1:11" x14ac:dyDescent="0.25">
      <c r="A52">
        <v>2023</v>
      </c>
      <c r="B52">
        <v>7</v>
      </c>
      <c r="C52" t="s">
        <v>92</v>
      </c>
      <c r="D52" t="s">
        <v>75</v>
      </c>
      <c r="E52" t="s">
        <v>79</v>
      </c>
      <c r="F52" t="s">
        <v>80</v>
      </c>
      <c r="G52" t="s">
        <v>31</v>
      </c>
      <c r="H52" t="s">
        <v>52</v>
      </c>
      <c r="I52">
        <v>0</v>
      </c>
      <c r="J52" s="1">
        <v>97427.17</v>
      </c>
      <c r="K52">
        <v>0</v>
      </c>
    </row>
    <row r="53" spans="1:11" x14ac:dyDescent="0.25">
      <c r="A53">
        <v>2023</v>
      </c>
      <c r="B53">
        <v>7</v>
      </c>
      <c r="C53" t="s">
        <v>93</v>
      </c>
      <c r="D53" t="s">
        <v>75</v>
      </c>
      <c r="E53" t="s">
        <v>79</v>
      </c>
      <c r="F53" t="s">
        <v>80</v>
      </c>
      <c r="G53" t="s">
        <v>31</v>
      </c>
      <c r="H53" t="s">
        <v>55</v>
      </c>
      <c r="I53">
        <v>0</v>
      </c>
      <c r="J53" s="1">
        <v>41208.33</v>
      </c>
      <c r="K53" s="1">
        <v>44852.31</v>
      </c>
    </row>
    <row r="54" spans="1:11" x14ac:dyDescent="0.25">
      <c r="A54">
        <v>2023</v>
      </c>
      <c r="B54">
        <v>7</v>
      </c>
      <c r="C54" t="s">
        <v>94</v>
      </c>
      <c r="D54" t="s">
        <v>75</v>
      </c>
      <c r="E54" t="s">
        <v>79</v>
      </c>
      <c r="F54" t="s">
        <v>80</v>
      </c>
      <c r="G54" t="s">
        <v>31</v>
      </c>
      <c r="H54" t="s">
        <v>55</v>
      </c>
      <c r="I54" s="1">
        <v>51538.39</v>
      </c>
      <c r="J54" s="1">
        <v>81028.08</v>
      </c>
      <c r="K54" s="1">
        <v>48677.4</v>
      </c>
    </row>
    <row r="55" spans="1:11" x14ac:dyDescent="0.25">
      <c r="A55">
        <v>2023</v>
      </c>
      <c r="B55">
        <v>7</v>
      </c>
      <c r="C55" t="s">
        <v>95</v>
      </c>
      <c r="D55" t="s">
        <v>75</v>
      </c>
      <c r="E55" t="s">
        <v>79</v>
      </c>
      <c r="F55" t="s">
        <v>80</v>
      </c>
      <c r="G55" t="s">
        <v>31</v>
      </c>
      <c r="H55" t="s">
        <v>48</v>
      </c>
      <c r="I55">
        <v>0</v>
      </c>
      <c r="J55" s="1">
        <v>108465.07</v>
      </c>
      <c r="K55">
        <v>0</v>
      </c>
    </row>
    <row r="56" spans="1:11" x14ac:dyDescent="0.25">
      <c r="A56">
        <v>2023</v>
      </c>
      <c r="B56">
        <v>7</v>
      </c>
      <c r="C56" t="s">
        <v>96</v>
      </c>
      <c r="D56" t="s">
        <v>75</v>
      </c>
      <c r="E56" t="s">
        <v>79</v>
      </c>
      <c r="F56" t="s">
        <v>80</v>
      </c>
      <c r="G56" t="s">
        <v>97</v>
      </c>
      <c r="H56" t="s">
        <v>26</v>
      </c>
      <c r="I56" s="1">
        <v>3200</v>
      </c>
      <c r="J56">
        <v>0</v>
      </c>
      <c r="K56">
        <v>0</v>
      </c>
    </row>
    <row r="57" spans="1:11" x14ac:dyDescent="0.25">
      <c r="A57">
        <v>2023</v>
      </c>
      <c r="B57">
        <v>7</v>
      </c>
      <c r="C57" t="s">
        <v>98</v>
      </c>
      <c r="D57" t="s">
        <v>75</v>
      </c>
      <c r="E57" t="s">
        <v>76</v>
      </c>
      <c r="F57" t="s">
        <v>77</v>
      </c>
      <c r="G57" t="s">
        <v>42</v>
      </c>
      <c r="H57" t="s">
        <v>48</v>
      </c>
      <c r="I57">
        <v>117</v>
      </c>
      <c r="J57">
        <v>0</v>
      </c>
      <c r="K57">
        <v>0</v>
      </c>
    </row>
    <row r="58" spans="1:11" x14ac:dyDescent="0.25">
      <c r="A58">
        <v>2023</v>
      </c>
      <c r="B58">
        <v>7</v>
      </c>
      <c r="C58" t="s">
        <v>99</v>
      </c>
      <c r="D58" t="s">
        <v>75</v>
      </c>
      <c r="E58" t="s">
        <v>79</v>
      </c>
      <c r="F58" t="s">
        <v>80</v>
      </c>
      <c r="G58" t="s">
        <v>42</v>
      </c>
      <c r="H58" t="s">
        <v>48</v>
      </c>
      <c r="I58" s="1">
        <v>2037.27</v>
      </c>
      <c r="J58">
        <v>0</v>
      </c>
      <c r="K58">
        <v>0</v>
      </c>
    </row>
    <row r="59" spans="1:11" x14ac:dyDescent="0.25">
      <c r="A59">
        <v>2023</v>
      </c>
      <c r="B59">
        <v>7</v>
      </c>
      <c r="C59" t="s">
        <v>100</v>
      </c>
      <c r="D59" t="s">
        <v>75</v>
      </c>
      <c r="E59" t="s">
        <v>76</v>
      </c>
      <c r="F59" t="s">
        <v>77</v>
      </c>
      <c r="G59" t="s">
        <v>101</v>
      </c>
      <c r="H59" t="s">
        <v>102</v>
      </c>
      <c r="I59" s="1">
        <v>23636.01</v>
      </c>
      <c r="J59" s="1">
        <v>23636.01</v>
      </c>
      <c r="K59" s="1">
        <v>23636.01</v>
      </c>
    </row>
    <row r="60" spans="1:11" x14ac:dyDescent="0.25">
      <c r="A60">
        <v>2023</v>
      </c>
      <c r="B60">
        <v>7</v>
      </c>
      <c r="C60" t="s">
        <v>103</v>
      </c>
      <c r="D60" t="s">
        <v>75</v>
      </c>
      <c r="E60" t="s">
        <v>76</v>
      </c>
      <c r="F60" t="s">
        <v>77</v>
      </c>
      <c r="G60" t="s">
        <v>101</v>
      </c>
      <c r="H60" t="s">
        <v>104</v>
      </c>
      <c r="I60" s="1">
        <v>660848.11</v>
      </c>
      <c r="J60" s="1">
        <v>660848.11</v>
      </c>
      <c r="K60" s="1">
        <v>660848.11</v>
      </c>
    </row>
    <row r="61" spans="1:11" x14ac:dyDescent="0.25">
      <c r="A61">
        <v>2023</v>
      </c>
      <c r="B61">
        <v>7</v>
      </c>
      <c r="C61" t="s">
        <v>105</v>
      </c>
      <c r="D61" t="s">
        <v>106</v>
      </c>
      <c r="E61" t="s">
        <v>76</v>
      </c>
      <c r="F61" t="s">
        <v>107</v>
      </c>
      <c r="G61" t="s">
        <v>15</v>
      </c>
      <c r="H61" t="s">
        <v>16</v>
      </c>
      <c r="I61" s="1">
        <v>375819.3</v>
      </c>
      <c r="J61" s="1">
        <v>375819.3</v>
      </c>
      <c r="K61" s="1">
        <v>375819.3</v>
      </c>
    </row>
    <row r="62" spans="1:11" x14ac:dyDescent="0.25">
      <c r="A62">
        <v>2023</v>
      </c>
      <c r="B62">
        <v>7</v>
      </c>
      <c r="C62" t="s">
        <v>108</v>
      </c>
      <c r="D62" t="s">
        <v>106</v>
      </c>
      <c r="E62" t="s">
        <v>76</v>
      </c>
      <c r="F62" t="s">
        <v>107</v>
      </c>
      <c r="G62" t="s">
        <v>24</v>
      </c>
      <c r="H62" t="s">
        <v>16</v>
      </c>
      <c r="I62" s="1">
        <v>1304.5999999999999</v>
      </c>
      <c r="J62">
        <v>847.13</v>
      </c>
      <c r="K62" s="1">
        <v>5774.67</v>
      </c>
    </row>
    <row r="63" spans="1:11" x14ac:dyDescent="0.25">
      <c r="A63">
        <v>2023</v>
      </c>
      <c r="B63">
        <v>7</v>
      </c>
      <c r="C63" t="s">
        <v>109</v>
      </c>
      <c r="D63" t="s">
        <v>106</v>
      </c>
      <c r="E63" t="s">
        <v>76</v>
      </c>
      <c r="F63" t="s">
        <v>107</v>
      </c>
      <c r="G63" t="s">
        <v>28</v>
      </c>
      <c r="H63" t="s">
        <v>16</v>
      </c>
      <c r="I63" s="1">
        <v>13382.43</v>
      </c>
      <c r="J63" s="1">
        <v>20169.48</v>
      </c>
      <c r="K63" s="1">
        <v>20304.48</v>
      </c>
    </row>
    <row r="64" spans="1:11" x14ac:dyDescent="0.25">
      <c r="A64">
        <v>2023</v>
      </c>
      <c r="B64">
        <v>7</v>
      </c>
      <c r="C64" t="s">
        <v>110</v>
      </c>
      <c r="D64" t="s">
        <v>106</v>
      </c>
      <c r="E64" t="s">
        <v>76</v>
      </c>
      <c r="F64" t="s">
        <v>107</v>
      </c>
      <c r="G64" t="s">
        <v>31</v>
      </c>
      <c r="H64" t="s">
        <v>55</v>
      </c>
      <c r="I64">
        <v>0</v>
      </c>
      <c r="J64" s="1">
        <v>23394.06</v>
      </c>
      <c r="K64" s="1">
        <v>23394.06</v>
      </c>
    </row>
    <row r="65" spans="1:11" x14ac:dyDescent="0.25">
      <c r="A65">
        <v>2023</v>
      </c>
      <c r="B65">
        <v>7</v>
      </c>
      <c r="C65" t="s">
        <v>111</v>
      </c>
      <c r="D65" t="s">
        <v>106</v>
      </c>
      <c r="E65" t="s">
        <v>76</v>
      </c>
      <c r="F65" t="s">
        <v>107</v>
      </c>
      <c r="G65" t="s">
        <v>31</v>
      </c>
      <c r="H65" t="s">
        <v>16</v>
      </c>
      <c r="I65" s="1">
        <v>416162.48</v>
      </c>
      <c r="J65" s="1">
        <v>1614862.46</v>
      </c>
      <c r="K65" s="1">
        <v>1029696.6</v>
      </c>
    </row>
    <row r="66" spans="1:11" x14ac:dyDescent="0.25">
      <c r="A66">
        <v>2023</v>
      </c>
      <c r="B66">
        <v>7</v>
      </c>
      <c r="C66" t="s">
        <v>112</v>
      </c>
      <c r="D66" t="s">
        <v>106</v>
      </c>
      <c r="E66" t="s">
        <v>76</v>
      </c>
      <c r="F66" t="s">
        <v>107</v>
      </c>
      <c r="G66" t="s">
        <v>31</v>
      </c>
      <c r="H66" t="s">
        <v>26</v>
      </c>
      <c r="I66" s="1">
        <v>46300.88</v>
      </c>
      <c r="J66">
        <v>0</v>
      </c>
      <c r="K66">
        <v>0</v>
      </c>
    </row>
    <row r="67" spans="1:11" x14ac:dyDescent="0.25">
      <c r="A67">
        <v>2023</v>
      </c>
      <c r="B67">
        <v>7</v>
      </c>
      <c r="C67" t="s">
        <v>113</v>
      </c>
      <c r="D67" t="s">
        <v>106</v>
      </c>
      <c r="E67" t="s">
        <v>76</v>
      </c>
      <c r="F67" t="s">
        <v>107</v>
      </c>
      <c r="G67" t="s">
        <v>62</v>
      </c>
      <c r="H67" t="s">
        <v>16</v>
      </c>
      <c r="I67" s="1">
        <v>12511.68</v>
      </c>
      <c r="J67">
        <v>573</v>
      </c>
      <c r="K67">
        <v>573</v>
      </c>
    </row>
    <row r="68" spans="1:11" x14ac:dyDescent="0.25">
      <c r="A68">
        <v>2023</v>
      </c>
      <c r="B68">
        <v>7</v>
      </c>
      <c r="C68" t="s">
        <v>114</v>
      </c>
      <c r="D68" t="s">
        <v>106</v>
      </c>
      <c r="E68" t="s">
        <v>76</v>
      </c>
      <c r="F68" t="s">
        <v>107</v>
      </c>
      <c r="G68" t="s">
        <v>40</v>
      </c>
      <c r="H68" t="s">
        <v>16</v>
      </c>
      <c r="I68">
        <v>446</v>
      </c>
      <c r="J68">
        <v>446</v>
      </c>
      <c r="K68">
        <v>446</v>
      </c>
    </row>
    <row r="69" spans="1:11" x14ac:dyDescent="0.25">
      <c r="A69">
        <v>2023</v>
      </c>
      <c r="B69">
        <v>7</v>
      </c>
      <c r="C69" t="s">
        <v>115</v>
      </c>
      <c r="D69" t="s">
        <v>106</v>
      </c>
      <c r="E69" t="s">
        <v>76</v>
      </c>
      <c r="F69" t="s">
        <v>107</v>
      </c>
      <c r="G69" t="s">
        <v>116</v>
      </c>
      <c r="H69" t="s">
        <v>16</v>
      </c>
      <c r="I69">
        <v>0</v>
      </c>
      <c r="J69">
        <v>209.58</v>
      </c>
      <c r="K69">
        <v>209.58</v>
      </c>
    </row>
    <row r="70" spans="1:11" x14ac:dyDescent="0.25">
      <c r="A70">
        <v>2023</v>
      </c>
      <c r="B70">
        <v>7</v>
      </c>
      <c r="C70" t="s">
        <v>117</v>
      </c>
      <c r="D70" t="s">
        <v>106</v>
      </c>
      <c r="E70" t="s">
        <v>76</v>
      </c>
      <c r="F70" t="s">
        <v>107</v>
      </c>
      <c r="G70" t="s">
        <v>97</v>
      </c>
      <c r="H70" t="s">
        <v>16</v>
      </c>
      <c r="I70" s="1">
        <v>13940.41</v>
      </c>
      <c r="J70" s="1">
        <v>33618.19</v>
      </c>
      <c r="K70" s="1">
        <v>59661.72</v>
      </c>
    </row>
    <row r="71" spans="1:11" x14ac:dyDescent="0.25">
      <c r="A71">
        <v>2023</v>
      </c>
      <c r="B71">
        <v>7</v>
      </c>
      <c r="C71" t="s">
        <v>118</v>
      </c>
      <c r="D71" t="s">
        <v>106</v>
      </c>
      <c r="E71" t="s">
        <v>76</v>
      </c>
      <c r="F71" t="s">
        <v>107</v>
      </c>
      <c r="G71" t="s">
        <v>97</v>
      </c>
      <c r="H71" t="s">
        <v>16</v>
      </c>
      <c r="I71" s="1">
        <v>-24622.29</v>
      </c>
      <c r="J71" s="1">
        <v>4187914.48</v>
      </c>
      <c r="K71" s="1">
        <v>3297959.53</v>
      </c>
    </row>
    <row r="72" spans="1:11" x14ac:dyDescent="0.25">
      <c r="A72">
        <v>2023</v>
      </c>
      <c r="B72">
        <v>7</v>
      </c>
      <c r="C72" t="s">
        <v>119</v>
      </c>
      <c r="D72" t="s">
        <v>106</v>
      </c>
      <c r="E72" t="s">
        <v>76</v>
      </c>
      <c r="F72" t="s">
        <v>107</v>
      </c>
      <c r="G72" t="s">
        <v>97</v>
      </c>
      <c r="H72" t="s">
        <v>16</v>
      </c>
      <c r="I72" s="1">
        <v>-3374488.78</v>
      </c>
      <c r="J72" s="1">
        <v>387582.81</v>
      </c>
      <c r="K72" s="1">
        <v>733880.2</v>
      </c>
    </row>
    <row r="73" spans="1:11" x14ac:dyDescent="0.25">
      <c r="A73">
        <v>2023</v>
      </c>
      <c r="B73">
        <v>7</v>
      </c>
      <c r="C73" t="s">
        <v>120</v>
      </c>
      <c r="D73" t="s">
        <v>106</v>
      </c>
      <c r="E73" t="s">
        <v>76</v>
      </c>
      <c r="F73" t="s">
        <v>107</v>
      </c>
      <c r="G73" t="s">
        <v>97</v>
      </c>
      <c r="H73" t="s">
        <v>26</v>
      </c>
      <c r="I73" s="1">
        <v>601366.82999999996</v>
      </c>
      <c r="J73">
        <v>0</v>
      </c>
      <c r="K73">
        <v>0</v>
      </c>
    </row>
    <row r="74" spans="1:11" x14ac:dyDescent="0.25">
      <c r="A74">
        <v>2023</v>
      </c>
      <c r="B74">
        <v>7</v>
      </c>
      <c r="C74" t="s">
        <v>121</v>
      </c>
      <c r="D74" t="s">
        <v>106</v>
      </c>
      <c r="E74" t="s">
        <v>76</v>
      </c>
      <c r="F74" t="s">
        <v>107</v>
      </c>
      <c r="G74" t="s">
        <v>42</v>
      </c>
      <c r="H74" t="s">
        <v>16</v>
      </c>
      <c r="I74" s="1">
        <v>11934</v>
      </c>
      <c r="J74" s="1">
        <v>35600</v>
      </c>
      <c r="K74">
        <v>0</v>
      </c>
    </row>
    <row r="75" spans="1:11" x14ac:dyDescent="0.25">
      <c r="A75">
        <v>2023</v>
      </c>
      <c r="B75">
        <v>7</v>
      </c>
      <c r="C75" t="s">
        <v>122</v>
      </c>
      <c r="D75" t="s">
        <v>106</v>
      </c>
      <c r="E75" t="s">
        <v>76</v>
      </c>
      <c r="F75" t="s">
        <v>107</v>
      </c>
      <c r="G75" t="s">
        <v>123</v>
      </c>
      <c r="H75" t="s">
        <v>26</v>
      </c>
      <c r="I75" s="1">
        <v>243851.41</v>
      </c>
      <c r="J75" s="1">
        <v>243851.41</v>
      </c>
      <c r="K75" s="1">
        <v>1073976.4099999999</v>
      </c>
    </row>
    <row r="76" spans="1:11" x14ac:dyDescent="0.25">
      <c r="A76">
        <v>2023</v>
      </c>
      <c r="B76">
        <v>7</v>
      </c>
      <c r="C76" t="s">
        <v>124</v>
      </c>
      <c r="D76" t="s">
        <v>125</v>
      </c>
      <c r="E76" t="s">
        <v>126</v>
      </c>
      <c r="F76" t="s">
        <v>127</v>
      </c>
      <c r="G76" t="s">
        <v>128</v>
      </c>
      <c r="H76" t="s">
        <v>52</v>
      </c>
      <c r="I76" s="1">
        <v>1326111.28</v>
      </c>
      <c r="J76" s="1">
        <v>1326111.28</v>
      </c>
      <c r="K76" s="1">
        <v>1326111.28</v>
      </c>
    </row>
    <row r="77" spans="1:11" x14ac:dyDescent="0.25">
      <c r="A77">
        <v>2023</v>
      </c>
      <c r="B77">
        <v>7</v>
      </c>
      <c r="C77" t="s">
        <v>129</v>
      </c>
      <c r="D77" t="s">
        <v>125</v>
      </c>
      <c r="E77" t="s">
        <v>126</v>
      </c>
      <c r="F77" t="s">
        <v>14</v>
      </c>
      <c r="G77" t="s">
        <v>15</v>
      </c>
      <c r="H77" t="s">
        <v>16</v>
      </c>
      <c r="I77" s="1">
        <v>40226.04</v>
      </c>
      <c r="J77" s="1">
        <v>40226.04</v>
      </c>
      <c r="K77" s="1">
        <v>40226.04</v>
      </c>
    </row>
    <row r="78" spans="1:11" x14ac:dyDescent="0.25">
      <c r="A78">
        <v>2023</v>
      </c>
      <c r="B78">
        <v>7</v>
      </c>
      <c r="C78" t="s">
        <v>130</v>
      </c>
      <c r="D78" t="s">
        <v>125</v>
      </c>
      <c r="E78" t="s">
        <v>126</v>
      </c>
      <c r="F78" t="s">
        <v>127</v>
      </c>
      <c r="G78" t="s">
        <v>15</v>
      </c>
      <c r="H78" t="s">
        <v>16</v>
      </c>
      <c r="I78" s="1">
        <v>233620.68</v>
      </c>
      <c r="J78" s="1">
        <v>233620.68</v>
      </c>
      <c r="K78" s="1">
        <v>237548.99</v>
      </c>
    </row>
    <row r="79" spans="1:11" x14ac:dyDescent="0.25">
      <c r="A79">
        <v>2023</v>
      </c>
      <c r="B79">
        <v>7</v>
      </c>
      <c r="C79" t="s">
        <v>131</v>
      </c>
      <c r="D79" t="s">
        <v>125</v>
      </c>
      <c r="E79" t="s">
        <v>126</v>
      </c>
      <c r="F79" t="s">
        <v>127</v>
      </c>
      <c r="G79" t="s">
        <v>15</v>
      </c>
      <c r="H79" t="s">
        <v>52</v>
      </c>
      <c r="I79" s="1">
        <v>623858.38</v>
      </c>
      <c r="J79" s="1">
        <v>623858.38</v>
      </c>
      <c r="K79" s="1">
        <v>627117.55000000005</v>
      </c>
    </row>
    <row r="80" spans="1:11" x14ac:dyDescent="0.25">
      <c r="A80">
        <v>2023</v>
      </c>
      <c r="B80">
        <v>7</v>
      </c>
      <c r="C80" t="s">
        <v>132</v>
      </c>
      <c r="D80" t="s">
        <v>125</v>
      </c>
      <c r="E80" t="s">
        <v>126</v>
      </c>
      <c r="F80" t="s">
        <v>14</v>
      </c>
      <c r="G80" t="s">
        <v>133</v>
      </c>
      <c r="H80" t="s">
        <v>16</v>
      </c>
      <c r="I80" s="1">
        <v>2087.3200000000002</v>
      </c>
      <c r="J80" s="1">
        <v>2087.3200000000002</v>
      </c>
      <c r="K80" s="1">
        <v>2087.3200000000002</v>
      </c>
    </row>
    <row r="81" spans="1:11" x14ac:dyDescent="0.25">
      <c r="A81">
        <v>2023</v>
      </c>
      <c r="B81">
        <v>7</v>
      </c>
      <c r="C81" t="s">
        <v>134</v>
      </c>
      <c r="D81" t="s">
        <v>125</v>
      </c>
      <c r="E81" t="s">
        <v>126</v>
      </c>
      <c r="F81" t="s">
        <v>127</v>
      </c>
      <c r="G81" t="s">
        <v>133</v>
      </c>
      <c r="H81" t="s">
        <v>16</v>
      </c>
      <c r="I81" s="1">
        <v>43301.01</v>
      </c>
      <c r="J81" s="1">
        <v>43301.01</v>
      </c>
      <c r="K81" s="1">
        <v>43301.01</v>
      </c>
    </row>
    <row r="82" spans="1:11" x14ac:dyDescent="0.25">
      <c r="A82">
        <v>2023</v>
      </c>
      <c r="B82">
        <v>7</v>
      </c>
      <c r="C82" t="s">
        <v>135</v>
      </c>
      <c r="D82" t="s">
        <v>125</v>
      </c>
      <c r="E82" t="s">
        <v>126</v>
      </c>
      <c r="F82" t="s">
        <v>127</v>
      </c>
      <c r="G82" t="s">
        <v>133</v>
      </c>
      <c r="H82" t="s">
        <v>52</v>
      </c>
      <c r="I82" s="1">
        <v>317921.2</v>
      </c>
      <c r="J82" s="1">
        <v>317921.2</v>
      </c>
      <c r="K82" s="1">
        <v>317921.2</v>
      </c>
    </row>
    <row r="83" spans="1:11" x14ac:dyDescent="0.25">
      <c r="A83">
        <v>2023</v>
      </c>
      <c r="B83">
        <v>7</v>
      </c>
      <c r="C83" t="s">
        <v>136</v>
      </c>
      <c r="D83" t="s">
        <v>125</v>
      </c>
      <c r="E83" t="s">
        <v>126</v>
      </c>
      <c r="F83" t="s">
        <v>127</v>
      </c>
      <c r="G83" t="s">
        <v>137</v>
      </c>
      <c r="H83" t="s">
        <v>16</v>
      </c>
      <c r="I83" s="1">
        <v>1588.9</v>
      </c>
      <c r="J83" s="1">
        <v>1588.9</v>
      </c>
      <c r="K83" s="1">
        <v>1588.9</v>
      </c>
    </row>
    <row r="84" spans="1:11" x14ac:dyDescent="0.25">
      <c r="A84">
        <v>2023</v>
      </c>
      <c r="B84">
        <v>7</v>
      </c>
      <c r="C84" t="s">
        <v>138</v>
      </c>
      <c r="D84" t="s">
        <v>125</v>
      </c>
      <c r="E84" t="s">
        <v>126</v>
      </c>
      <c r="F84" t="s">
        <v>14</v>
      </c>
      <c r="G84" t="s">
        <v>133</v>
      </c>
      <c r="H84" t="s">
        <v>16</v>
      </c>
      <c r="I84" s="1">
        <v>2446.66</v>
      </c>
      <c r="J84" s="1">
        <v>2446.66</v>
      </c>
      <c r="K84" s="1">
        <v>2446.66</v>
      </c>
    </row>
    <row r="85" spans="1:11" x14ac:dyDescent="0.25">
      <c r="A85">
        <v>2023</v>
      </c>
      <c r="B85">
        <v>7</v>
      </c>
      <c r="C85" t="s">
        <v>139</v>
      </c>
      <c r="D85" t="s">
        <v>125</v>
      </c>
      <c r="E85" t="s">
        <v>126</v>
      </c>
      <c r="F85" t="s">
        <v>127</v>
      </c>
      <c r="G85" t="s">
        <v>133</v>
      </c>
      <c r="H85" t="s">
        <v>52</v>
      </c>
      <c r="I85" s="1">
        <v>145193.24</v>
      </c>
      <c r="J85" s="1">
        <v>145193.24</v>
      </c>
      <c r="K85" s="1">
        <v>145193.24</v>
      </c>
    </row>
    <row r="86" spans="1:11" x14ac:dyDescent="0.25">
      <c r="A86">
        <v>2023</v>
      </c>
      <c r="B86">
        <v>7</v>
      </c>
      <c r="C86" t="s">
        <v>140</v>
      </c>
      <c r="D86" t="s">
        <v>125</v>
      </c>
      <c r="E86" t="s">
        <v>126</v>
      </c>
      <c r="F86" t="s">
        <v>127</v>
      </c>
      <c r="G86" t="s">
        <v>81</v>
      </c>
      <c r="H86" t="s">
        <v>16</v>
      </c>
      <c r="I86" s="1">
        <v>747568.12</v>
      </c>
      <c r="J86" s="1">
        <v>1106472.74</v>
      </c>
      <c r="K86" s="1">
        <v>667809.02</v>
      </c>
    </row>
    <row r="87" spans="1:11" x14ac:dyDescent="0.25">
      <c r="A87">
        <v>2023</v>
      </c>
      <c r="B87">
        <v>7</v>
      </c>
      <c r="C87" t="s">
        <v>141</v>
      </c>
      <c r="D87" t="s">
        <v>125</v>
      </c>
      <c r="E87" t="s">
        <v>126</v>
      </c>
      <c r="F87" t="s">
        <v>127</v>
      </c>
      <c r="G87" t="s">
        <v>81</v>
      </c>
      <c r="H87" t="s">
        <v>52</v>
      </c>
      <c r="I87">
        <v>0</v>
      </c>
      <c r="J87" s="1">
        <v>50808.72</v>
      </c>
      <c r="K87" s="1">
        <v>50808.72</v>
      </c>
    </row>
    <row r="88" spans="1:11" x14ac:dyDescent="0.25">
      <c r="A88">
        <v>2023</v>
      </c>
      <c r="B88">
        <v>7</v>
      </c>
      <c r="C88" t="s">
        <v>142</v>
      </c>
      <c r="D88" t="s">
        <v>125</v>
      </c>
      <c r="E88" t="s">
        <v>126</v>
      </c>
      <c r="F88" t="s">
        <v>143</v>
      </c>
      <c r="G88" t="s">
        <v>81</v>
      </c>
      <c r="H88" t="s">
        <v>16</v>
      </c>
      <c r="I88" s="1">
        <v>-2221415.64</v>
      </c>
      <c r="J88" s="1">
        <v>6604354</v>
      </c>
      <c r="K88" s="1">
        <v>6492186.6600000001</v>
      </c>
    </row>
    <row r="89" spans="1:11" x14ac:dyDescent="0.25">
      <c r="A89">
        <v>2023</v>
      </c>
      <c r="B89">
        <v>7</v>
      </c>
      <c r="C89" t="s">
        <v>144</v>
      </c>
      <c r="D89" t="s">
        <v>125</v>
      </c>
      <c r="E89" t="s">
        <v>126</v>
      </c>
      <c r="F89" t="s">
        <v>145</v>
      </c>
      <c r="G89" t="s">
        <v>81</v>
      </c>
      <c r="H89" t="s">
        <v>16</v>
      </c>
      <c r="I89" s="1">
        <v>6008683.25</v>
      </c>
      <c r="J89" s="1">
        <v>586570.85</v>
      </c>
      <c r="K89" s="1">
        <v>1527255.7</v>
      </c>
    </row>
    <row r="90" spans="1:11" x14ac:dyDescent="0.25">
      <c r="A90">
        <v>2023</v>
      </c>
      <c r="B90">
        <v>7</v>
      </c>
      <c r="C90" t="s">
        <v>146</v>
      </c>
      <c r="D90" t="s">
        <v>125</v>
      </c>
      <c r="E90" t="s">
        <v>126</v>
      </c>
      <c r="F90" t="s">
        <v>145</v>
      </c>
      <c r="G90" t="s">
        <v>81</v>
      </c>
      <c r="H90" t="s">
        <v>52</v>
      </c>
      <c r="I90" s="1">
        <v>1031260.25</v>
      </c>
      <c r="J90" s="1">
        <v>20738.150000000001</v>
      </c>
      <c r="K90" s="1">
        <v>225083.56</v>
      </c>
    </row>
    <row r="91" spans="1:11" x14ac:dyDescent="0.25">
      <c r="A91">
        <v>2023</v>
      </c>
      <c r="B91">
        <v>7</v>
      </c>
      <c r="C91" t="s">
        <v>147</v>
      </c>
      <c r="D91" t="s">
        <v>125</v>
      </c>
      <c r="E91" t="s">
        <v>126</v>
      </c>
      <c r="F91" t="s">
        <v>14</v>
      </c>
      <c r="G91" t="s">
        <v>148</v>
      </c>
      <c r="H91" t="s">
        <v>16</v>
      </c>
      <c r="I91">
        <v>50</v>
      </c>
      <c r="J91">
        <v>50</v>
      </c>
      <c r="K91">
        <v>50</v>
      </c>
    </row>
    <row r="92" spans="1:11" x14ac:dyDescent="0.25">
      <c r="A92">
        <v>2023</v>
      </c>
      <c r="B92">
        <v>7</v>
      </c>
      <c r="C92" t="s">
        <v>149</v>
      </c>
      <c r="D92" t="s">
        <v>125</v>
      </c>
      <c r="E92" t="s">
        <v>126</v>
      </c>
      <c r="F92" t="s">
        <v>127</v>
      </c>
      <c r="G92" t="s">
        <v>148</v>
      </c>
      <c r="H92" t="s">
        <v>16</v>
      </c>
      <c r="I92" s="1">
        <v>6044.22</v>
      </c>
      <c r="J92" s="1">
        <v>6044.22</v>
      </c>
      <c r="K92" s="1">
        <v>6044.22</v>
      </c>
    </row>
    <row r="93" spans="1:11" x14ac:dyDescent="0.25">
      <c r="A93">
        <v>2023</v>
      </c>
      <c r="B93">
        <v>7</v>
      </c>
      <c r="C93" t="s">
        <v>150</v>
      </c>
      <c r="D93" t="s">
        <v>125</v>
      </c>
      <c r="E93" t="s">
        <v>126</v>
      </c>
      <c r="F93" t="s">
        <v>127</v>
      </c>
      <c r="G93" t="s">
        <v>148</v>
      </c>
      <c r="H93" t="s">
        <v>16</v>
      </c>
      <c r="I93" s="1">
        <v>64646.66</v>
      </c>
      <c r="J93" s="1">
        <v>64646.66</v>
      </c>
      <c r="K93" s="1">
        <v>64646.66</v>
      </c>
    </row>
    <row r="94" spans="1:11" x14ac:dyDescent="0.25">
      <c r="A94">
        <v>2023</v>
      </c>
      <c r="B94">
        <v>7</v>
      </c>
      <c r="C94" t="s">
        <v>151</v>
      </c>
      <c r="D94" t="s">
        <v>125</v>
      </c>
      <c r="E94" t="s">
        <v>126</v>
      </c>
      <c r="F94" t="s">
        <v>143</v>
      </c>
      <c r="G94" t="s">
        <v>148</v>
      </c>
      <c r="H94" t="s">
        <v>16</v>
      </c>
      <c r="I94" s="1">
        <v>6424</v>
      </c>
      <c r="J94" s="1">
        <v>6424</v>
      </c>
      <c r="K94" s="1">
        <v>6424</v>
      </c>
    </row>
    <row r="95" spans="1:11" x14ac:dyDescent="0.25">
      <c r="A95">
        <v>2023</v>
      </c>
      <c r="B95">
        <v>7</v>
      </c>
      <c r="C95" t="s">
        <v>152</v>
      </c>
      <c r="D95" t="s">
        <v>125</v>
      </c>
      <c r="E95" t="s">
        <v>126</v>
      </c>
      <c r="F95" t="s">
        <v>143</v>
      </c>
      <c r="G95" t="s">
        <v>148</v>
      </c>
      <c r="H95" t="s">
        <v>16</v>
      </c>
      <c r="I95" s="1">
        <v>70587.12</v>
      </c>
      <c r="J95" s="1">
        <v>70587.12</v>
      </c>
      <c r="K95" s="1">
        <v>70587.12</v>
      </c>
    </row>
    <row r="96" spans="1:11" x14ac:dyDescent="0.25">
      <c r="A96">
        <v>2023</v>
      </c>
      <c r="B96">
        <v>7</v>
      </c>
      <c r="C96" t="s">
        <v>153</v>
      </c>
      <c r="D96" t="s">
        <v>125</v>
      </c>
      <c r="E96" t="s">
        <v>126</v>
      </c>
      <c r="F96" t="s">
        <v>145</v>
      </c>
      <c r="G96" t="s">
        <v>148</v>
      </c>
      <c r="H96" t="s">
        <v>16</v>
      </c>
      <c r="I96">
        <v>999.6</v>
      </c>
      <c r="J96">
        <v>999.6</v>
      </c>
      <c r="K96">
        <v>999.6</v>
      </c>
    </row>
    <row r="97" spans="1:11" x14ac:dyDescent="0.25">
      <c r="A97">
        <v>2023</v>
      </c>
      <c r="B97">
        <v>7</v>
      </c>
      <c r="C97" t="s">
        <v>154</v>
      </c>
      <c r="D97" t="s">
        <v>125</v>
      </c>
      <c r="E97" t="s">
        <v>126</v>
      </c>
      <c r="F97" t="s">
        <v>127</v>
      </c>
      <c r="G97" t="s">
        <v>22</v>
      </c>
      <c r="H97" t="s">
        <v>16</v>
      </c>
      <c r="I97">
        <v>0</v>
      </c>
      <c r="J97">
        <v>0</v>
      </c>
      <c r="K97">
        <v>800</v>
      </c>
    </row>
    <row r="98" spans="1:11" x14ac:dyDescent="0.25">
      <c r="A98">
        <v>2023</v>
      </c>
      <c r="B98">
        <v>7</v>
      </c>
      <c r="C98" t="s">
        <v>155</v>
      </c>
      <c r="D98" t="s">
        <v>125</v>
      </c>
      <c r="E98" t="s">
        <v>126</v>
      </c>
      <c r="F98" t="s">
        <v>156</v>
      </c>
      <c r="G98" t="s">
        <v>24</v>
      </c>
      <c r="H98" t="s">
        <v>52</v>
      </c>
      <c r="I98">
        <v>0</v>
      </c>
      <c r="J98" s="1">
        <v>1290756.46</v>
      </c>
      <c r="K98" s="1">
        <v>1290756.46</v>
      </c>
    </row>
    <row r="99" spans="1:11" x14ac:dyDescent="0.25">
      <c r="A99">
        <v>2023</v>
      </c>
      <c r="B99">
        <v>7</v>
      </c>
      <c r="C99" t="s">
        <v>157</v>
      </c>
      <c r="D99" t="s">
        <v>125</v>
      </c>
      <c r="E99" t="s">
        <v>126</v>
      </c>
      <c r="F99" t="s">
        <v>156</v>
      </c>
      <c r="G99" t="s">
        <v>24</v>
      </c>
      <c r="H99" t="s">
        <v>102</v>
      </c>
      <c r="I99">
        <v>0</v>
      </c>
      <c r="J99" s="1">
        <v>1956139.19</v>
      </c>
      <c r="K99" s="1">
        <v>1956139.19</v>
      </c>
    </row>
    <row r="100" spans="1:11" x14ac:dyDescent="0.25">
      <c r="A100">
        <v>2023</v>
      </c>
      <c r="B100">
        <v>7</v>
      </c>
      <c r="C100" t="s">
        <v>158</v>
      </c>
      <c r="D100" t="s">
        <v>125</v>
      </c>
      <c r="E100" t="s">
        <v>126</v>
      </c>
      <c r="F100" t="s">
        <v>156</v>
      </c>
      <c r="G100" t="s">
        <v>24</v>
      </c>
      <c r="H100" t="s">
        <v>102</v>
      </c>
      <c r="I100">
        <v>0</v>
      </c>
      <c r="J100" s="1">
        <v>1290756.46</v>
      </c>
      <c r="K100" s="1">
        <v>1290756.46</v>
      </c>
    </row>
    <row r="101" spans="1:11" x14ac:dyDescent="0.25">
      <c r="A101">
        <v>2023</v>
      </c>
      <c r="B101">
        <v>7</v>
      </c>
      <c r="C101" t="s">
        <v>159</v>
      </c>
      <c r="D101" t="s">
        <v>125</v>
      </c>
      <c r="E101" t="s">
        <v>126</v>
      </c>
      <c r="F101" t="s">
        <v>156</v>
      </c>
      <c r="G101" t="s">
        <v>24</v>
      </c>
      <c r="H101" t="s">
        <v>102</v>
      </c>
      <c r="I101" s="1">
        <v>524102.13</v>
      </c>
      <c r="J101" s="1">
        <v>191451.57</v>
      </c>
      <c r="K101" s="1">
        <v>660042.56000000006</v>
      </c>
    </row>
    <row r="102" spans="1:11" x14ac:dyDescent="0.25">
      <c r="A102">
        <v>2023</v>
      </c>
      <c r="B102">
        <v>7</v>
      </c>
      <c r="C102" t="s">
        <v>160</v>
      </c>
      <c r="D102" t="s">
        <v>125</v>
      </c>
      <c r="E102" t="s">
        <v>126</v>
      </c>
      <c r="F102" t="s">
        <v>156</v>
      </c>
      <c r="G102" t="s">
        <v>24</v>
      </c>
      <c r="H102" t="s">
        <v>102</v>
      </c>
      <c r="I102">
        <v>0</v>
      </c>
      <c r="J102" s="1">
        <v>151134.84</v>
      </c>
      <c r="K102" s="1">
        <v>636101.44999999995</v>
      </c>
    </row>
    <row r="103" spans="1:11" x14ac:dyDescent="0.25">
      <c r="A103">
        <v>2023</v>
      </c>
      <c r="B103">
        <v>7</v>
      </c>
      <c r="C103" t="s">
        <v>161</v>
      </c>
      <c r="D103" t="s">
        <v>125</v>
      </c>
      <c r="E103" t="s">
        <v>126</v>
      </c>
      <c r="F103" t="s">
        <v>156</v>
      </c>
      <c r="G103" t="s">
        <v>24</v>
      </c>
      <c r="H103" t="s">
        <v>102</v>
      </c>
      <c r="I103" s="1">
        <v>-24610.53</v>
      </c>
      <c r="J103" s="1">
        <v>81487.759999999995</v>
      </c>
      <c r="K103" s="1">
        <v>56666.77</v>
      </c>
    </row>
    <row r="104" spans="1:11" x14ac:dyDescent="0.25">
      <c r="A104">
        <v>2023</v>
      </c>
      <c r="B104">
        <v>7</v>
      </c>
      <c r="C104" t="s">
        <v>162</v>
      </c>
      <c r="D104" t="s">
        <v>125</v>
      </c>
      <c r="E104" t="s">
        <v>126</v>
      </c>
      <c r="F104" t="s">
        <v>156</v>
      </c>
      <c r="G104" t="s">
        <v>24</v>
      </c>
      <c r="H104" t="s">
        <v>104</v>
      </c>
      <c r="I104" s="1">
        <v>240523.2</v>
      </c>
      <c r="J104" s="1">
        <v>26108.79</v>
      </c>
      <c r="K104">
        <v>0</v>
      </c>
    </row>
    <row r="105" spans="1:11" x14ac:dyDescent="0.25">
      <c r="A105">
        <v>2023</v>
      </c>
      <c r="B105">
        <v>7</v>
      </c>
      <c r="C105" t="s">
        <v>163</v>
      </c>
      <c r="D105" t="s">
        <v>125</v>
      </c>
      <c r="E105" t="s">
        <v>126</v>
      </c>
      <c r="F105" t="s">
        <v>127</v>
      </c>
      <c r="G105" t="s">
        <v>24</v>
      </c>
      <c r="H105" t="s">
        <v>16</v>
      </c>
      <c r="I105" s="1">
        <v>690007.51</v>
      </c>
      <c r="J105" s="1">
        <v>342916.25</v>
      </c>
      <c r="K105" s="1">
        <v>500263.24</v>
      </c>
    </row>
    <row r="106" spans="1:11" x14ac:dyDescent="0.25">
      <c r="A106">
        <v>2023</v>
      </c>
      <c r="B106">
        <v>7</v>
      </c>
      <c r="C106" t="s">
        <v>164</v>
      </c>
      <c r="D106" t="s">
        <v>125</v>
      </c>
      <c r="E106" t="s">
        <v>126</v>
      </c>
      <c r="F106" t="s">
        <v>127</v>
      </c>
      <c r="G106" t="s">
        <v>24</v>
      </c>
      <c r="H106" t="s">
        <v>16</v>
      </c>
      <c r="I106" s="1">
        <v>13391.6</v>
      </c>
      <c r="J106" s="1">
        <v>85101.06</v>
      </c>
      <c r="K106" s="1">
        <v>110089.62</v>
      </c>
    </row>
    <row r="107" spans="1:11" x14ac:dyDescent="0.25">
      <c r="A107">
        <v>2023</v>
      </c>
      <c r="B107">
        <v>7</v>
      </c>
      <c r="C107" t="s">
        <v>165</v>
      </c>
      <c r="D107" t="s">
        <v>125</v>
      </c>
      <c r="E107" t="s">
        <v>126</v>
      </c>
      <c r="F107" t="s">
        <v>127</v>
      </c>
      <c r="G107" t="s">
        <v>24</v>
      </c>
      <c r="H107" t="s">
        <v>52</v>
      </c>
      <c r="I107">
        <v>0</v>
      </c>
      <c r="J107" s="1">
        <v>5131.1400000000003</v>
      </c>
      <c r="K107" s="1">
        <v>8232.14</v>
      </c>
    </row>
    <row r="108" spans="1:11" x14ac:dyDescent="0.25">
      <c r="A108">
        <v>2023</v>
      </c>
      <c r="B108">
        <v>7</v>
      </c>
      <c r="C108" t="s">
        <v>166</v>
      </c>
      <c r="D108" t="s">
        <v>125</v>
      </c>
      <c r="E108" t="s">
        <v>126</v>
      </c>
      <c r="F108" t="s">
        <v>127</v>
      </c>
      <c r="G108" t="s">
        <v>24</v>
      </c>
      <c r="H108" t="s">
        <v>102</v>
      </c>
      <c r="I108" s="1">
        <v>90613.28</v>
      </c>
      <c r="J108" s="1">
        <v>67092.399999999994</v>
      </c>
      <c r="K108" s="1">
        <v>75600.84</v>
      </c>
    </row>
    <row r="109" spans="1:11" x14ac:dyDescent="0.25">
      <c r="A109">
        <v>2023</v>
      </c>
      <c r="B109">
        <v>7</v>
      </c>
      <c r="C109" t="s">
        <v>167</v>
      </c>
      <c r="D109" t="s">
        <v>125</v>
      </c>
      <c r="E109" t="s">
        <v>126</v>
      </c>
      <c r="F109" t="s">
        <v>127</v>
      </c>
      <c r="G109" t="s">
        <v>24</v>
      </c>
      <c r="H109" t="s">
        <v>104</v>
      </c>
      <c r="I109" s="1">
        <v>10708</v>
      </c>
      <c r="J109" s="1">
        <v>15038.91</v>
      </c>
      <c r="K109" s="1">
        <v>64690.07</v>
      </c>
    </row>
    <row r="110" spans="1:11" x14ac:dyDescent="0.25">
      <c r="A110">
        <v>2023</v>
      </c>
      <c r="B110">
        <v>7</v>
      </c>
      <c r="C110" t="s">
        <v>168</v>
      </c>
      <c r="D110" t="s">
        <v>125</v>
      </c>
      <c r="E110" t="s">
        <v>126</v>
      </c>
      <c r="F110" t="s">
        <v>143</v>
      </c>
      <c r="G110" t="s">
        <v>24</v>
      </c>
      <c r="H110" t="s">
        <v>16</v>
      </c>
      <c r="I110">
        <v>0</v>
      </c>
      <c r="J110">
        <v>702</v>
      </c>
      <c r="K110">
        <v>0</v>
      </c>
    </row>
    <row r="111" spans="1:11" x14ac:dyDescent="0.25">
      <c r="A111">
        <v>2023</v>
      </c>
      <c r="B111">
        <v>7</v>
      </c>
      <c r="C111" t="s">
        <v>169</v>
      </c>
      <c r="D111" t="s">
        <v>125</v>
      </c>
      <c r="E111" t="s">
        <v>126</v>
      </c>
      <c r="F111" t="s">
        <v>143</v>
      </c>
      <c r="G111" t="s">
        <v>24</v>
      </c>
      <c r="H111" t="s">
        <v>16</v>
      </c>
      <c r="I111" s="1">
        <v>6999.84</v>
      </c>
      <c r="J111" s="1">
        <v>6999.84</v>
      </c>
      <c r="K111">
        <v>0</v>
      </c>
    </row>
    <row r="112" spans="1:11" x14ac:dyDescent="0.25">
      <c r="A112">
        <v>2023</v>
      </c>
      <c r="B112">
        <v>7</v>
      </c>
      <c r="C112" t="s">
        <v>170</v>
      </c>
      <c r="D112" t="s">
        <v>125</v>
      </c>
      <c r="E112" t="s">
        <v>126</v>
      </c>
      <c r="F112" t="s">
        <v>143</v>
      </c>
      <c r="G112" t="s">
        <v>24</v>
      </c>
      <c r="H112" t="s">
        <v>102</v>
      </c>
      <c r="I112" s="1">
        <v>-15850</v>
      </c>
      <c r="J112" s="1">
        <v>249052.19</v>
      </c>
      <c r="K112" s="1">
        <v>83106.210000000006</v>
      </c>
    </row>
    <row r="113" spans="1:11" x14ac:dyDescent="0.25">
      <c r="A113">
        <v>2023</v>
      </c>
      <c r="B113">
        <v>7</v>
      </c>
      <c r="C113" t="s">
        <v>171</v>
      </c>
      <c r="D113" t="s">
        <v>125</v>
      </c>
      <c r="E113" t="s">
        <v>126</v>
      </c>
      <c r="F113" t="s">
        <v>143</v>
      </c>
      <c r="G113" t="s">
        <v>24</v>
      </c>
      <c r="H113" t="s">
        <v>104</v>
      </c>
      <c r="I113">
        <v>0</v>
      </c>
      <c r="J113" s="1">
        <v>38680.6</v>
      </c>
      <c r="K113" s="1">
        <v>5689.32</v>
      </c>
    </row>
    <row r="114" spans="1:11" x14ac:dyDescent="0.25">
      <c r="A114">
        <v>2023</v>
      </c>
      <c r="B114">
        <v>7</v>
      </c>
      <c r="C114" t="s">
        <v>172</v>
      </c>
      <c r="D114" t="s">
        <v>125</v>
      </c>
      <c r="E114" t="s">
        <v>126</v>
      </c>
      <c r="F114" t="s">
        <v>143</v>
      </c>
      <c r="G114" t="s">
        <v>24</v>
      </c>
      <c r="H114" t="s">
        <v>104</v>
      </c>
      <c r="I114" s="1">
        <v>13500</v>
      </c>
      <c r="J114" s="1">
        <v>57171.5</v>
      </c>
      <c r="K114" s="1">
        <v>16211</v>
      </c>
    </row>
    <row r="115" spans="1:11" x14ac:dyDescent="0.25">
      <c r="A115">
        <v>2023</v>
      </c>
      <c r="B115">
        <v>7</v>
      </c>
      <c r="C115" t="s">
        <v>173</v>
      </c>
      <c r="D115" t="s">
        <v>125</v>
      </c>
      <c r="E115" t="s">
        <v>126</v>
      </c>
      <c r="F115" t="s">
        <v>174</v>
      </c>
      <c r="G115" t="s">
        <v>24</v>
      </c>
      <c r="H115" t="s">
        <v>16</v>
      </c>
      <c r="I115">
        <v>0</v>
      </c>
      <c r="J115" s="1">
        <v>145530</v>
      </c>
      <c r="K115">
        <v>0</v>
      </c>
    </row>
    <row r="116" spans="1:11" x14ac:dyDescent="0.25">
      <c r="A116">
        <v>2023</v>
      </c>
      <c r="B116">
        <v>7</v>
      </c>
      <c r="C116" t="s">
        <v>175</v>
      </c>
      <c r="D116" t="s">
        <v>125</v>
      </c>
      <c r="E116" t="s">
        <v>126</v>
      </c>
      <c r="F116" t="s">
        <v>145</v>
      </c>
      <c r="G116" t="s">
        <v>24</v>
      </c>
      <c r="H116" t="s">
        <v>16</v>
      </c>
      <c r="I116">
        <v>0</v>
      </c>
      <c r="J116" s="1">
        <v>37889.22</v>
      </c>
      <c r="K116" s="1">
        <v>55816.25</v>
      </c>
    </row>
    <row r="117" spans="1:11" x14ac:dyDescent="0.25">
      <c r="A117">
        <v>2023</v>
      </c>
      <c r="B117">
        <v>7</v>
      </c>
      <c r="C117" t="s">
        <v>176</v>
      </c>
      <c r="D117" t="s">
        <v>125</v>
      </c>
      <c r="E117" t="s">
        <v>177</v>
      </c>
      <c r="F117" t="s">
        <v>178</v>
      </c>
      <c r="G117" t="s">
        <v>24</v>
      </c>
      <c r="H117" t="s">
        <v>16</v>
      </c>
      <c r="I117">
        <v>0</v>
      </c>
      <c r="J117" s="1">
        <v>1400</v>
      </c>
      <c r="K117" s="1">
        <v>1400</v>
      </c>
    </row>
    <row r="118" spans="1:11" x14ac:dyDescent="0.25">
      <c r="A118">
        <v>2023</v>
      </c>
      <c r="B118">
        <v>7</v>
      </c>
      <c r="C118" t="s">
        <v>179</v>
      </c>
      <c r="D118" t="s">
        <v>125</v>
      </c>
      <c r="E118" t="s">
        <v>126</v>
      </c>
      <c r="F118" t="s">
        <v>127</v>
      </c>
      <c r="G118" t="s">
        <v>28</v>
      </c>
      <c r="H118" t="s">
        <v>16</v>
      </c>
      <c r="I118" s="1">
        <v>20471.560000000001</v>
      </c>
      <c r="J118" s="1">
        <v>20471.560000000001</v>
      </c>
      <c r="K118" s="1">
        <v>20844.72</v>
      </c>
    </row>
    <row r="119" spans="1:11" x14ac:dyDescent="0.25">
      <c r="A119">
        <v>2023</v>
      </c>
      <c r="B119">
        <v>7</v>
      </c>
      <c r="C119" t="s">
        <v>180</v>
      </c>
      <c r="D119" t="s">
        <v>125</v>
      </c>
      <c r="E119" t="s">
        <v>126</v>
      </c>
      <c r="F119" t="s">
        <v>127</v>
      </c>
      <c r="G119" t="s">
        <v>28</v>
      </c>
      <c r="H119" t="s">
        <v>16</v>
      </c>
      <c r="I119" s="1">
        <v>52356.31</v>
      </c>
      <c r="J119" s="1">
        <v>54356.31</v>
      </c>
      <c r="K119" s="1">
        <v>54356.31</v>
      </c>
    </row>
    <row r="120" spans="1:11" x14ac:dyDescent="0.25">
      <c r="A120">
        <v>2023</v>
      </c>
      <c r="B120">
        <v>7</v>
      </c>
      <c r="C120" t="s">
        <v>181</v>
      </c>
      <c r="D120" t="s">
        <v>125</v>
      </c>
      <c r="E120" t="s">
        <v>126</v>
      </c>
      <c r="F120" t="s">
        <v>127</v>
      </c>
      <c r="G120" t="s">
        <v>28</v>
      </c>
      <c r="H120" t="s">
        <v>16</v>
      </c>
      <c r="I120" s="1">
        <v>630316.30000000005</v>
      </c>
      <c r="J120" s="1">
        <v>547142.51</v>
      </c>
      <c r="K120" s="1">
        <v>544455.76</v>
      </c>
    </row>
    <row r="121" spans="1:11" x14ac:dyDescent="0.25">
      <c r="A121">
        <v>2023</v>
      </c>
      <c r="B121">
        <v>7</v>
      </c>
      <c r="C121" t="s">
        <v>182</v>
      </c>
      <c r="D121" t="s">
        <v>125</v>
      </c>
      <c r="E121" t="s">
        <v>126</v>
      </c>
      <c r="F121" t="s">
        <v>127</v>
      </c>
      <c r="G121" t="s">
        <v>28</v>
      </c>
      <c r="H121" t="s">
        <v>52</v>
      </c>
      <c r="I121" s="1">
        <v>192413.89</v>
      </c>
      <c r="J121" s="1">
        <v>1292693.99</v>
      </c>
      <c r="K121" s="1">
        <v>1286656.46</v>
      </c>
    </row>
    <row r="122" spans="1:11" x14ac:dyDescent="0.25">
      <c r="A122">
        <v>2023</v>
      </c>
      <c r="B122">
        <v>7</v>
      </c>
      <c r="C122" t="s">
        <v>183</v>
      </c>
      <c r="D122" t="s">
        <v>125</v>
      </c>
      <c r="E122" t="s">
        <v>126</v>
      </c>
      <c r="F122" t="s">
        <v>127</v>
      </c>
      <c r="G122" t="s">
        <v>28</v>
      </c>
      <c r="H122" t="s">
        <v>102</v>
      </c>
      <c r="I122">
        <v>0</v>
      </c>
      <c r="J122" s="1">
        <v>73511.360000000001</v>
      </c>
      <c r="K122" s="1">
        <v>73511.360000000001</v>
      </c>
    </row>
    <row r="123" spans="1:11" x14ac:dyDescent="0.25">
      <c r="A123">
        <v>2023</v>
      </c>
      <c r="B123">
        <v>7</v>
      </c>
      <c r="C123" t="s">
        <v>184</v>
      </c>
      <c r="D123" t="s">
        <v>125</v>
      </c>
      <c r="E123" t="s">
        <v>126</v>
      </c>
      <c r="F123" t="s">
        <v>143</v>
      </c>
      <c r="G123" t="s">
        <v>28</v>
      </c>
      <c r="H123" t="s">
        <v>16</v>
      </c>
      <c r="I123" s="1">
        <v>65524.07</v>
      </c>
      <c r="J123" s="1">
        <v>65524.07</v>
      </c>
      <c r="K123" s="1">
        <v>66798.92</v>
      </c>
    </row>
    <row r="124" spans="1:11" x14ac:dyDescent="0.25">
      <c r="A124">
        <v>2023</v>
      </c>
      <c r="B124">
        <v>7</v>
      </c>
      <c r="C124" t="s">
        <v>185</v>
      </c>
      <c r="D124" t="s">
        <v>125</v>
      </c>
      <c r="E124" t="s">
        <v>126</v>
      </c>
      <c r="F124" t="s">
        <v>143</v>
      </c>
      <c r="G124" t="s">
        <v>28</v>
      </c>
      <c r="H124" t="s">
        <v>16</v>
      </c>
      <c r="I124" s="1">
        <v>585428.78</v>
      </c>
      <c r="J124" s="1">
        <v>593066.19999999995</v>
      </c>
      <c r="K124" s="1">
        <v>592566.07999999996</v>
      </c>
    </row>
    <row r="125" spans="1:11" x14ac:dyDescent="0.25">
      <c r="A125">
        <v>2023</v>
      </c>
      <c r="B125">
        <v>7</v>
      </c>
      <c r="C125" t="s">
        <v>186</v>
      </c>
      <c r="D125" t="s">
        <v>125</v>
      </c>
      <c r="E125" t="s">
        <v>126</v>
      </c>
      <c r="F125" t="s">
        <v>127</v>
      </c>
      <c r="G125" t="s">
        <v>187</v>
      </c>
      <c r="H125" t="s">
        <v>16</v>
      </c>
      <c r="I125">
        <v>0</v>
      </c>
      <c r="J125" s="1">
        <v>94717.75</v>
      </c>
      <c r="K125" s="1">
        <v>189571.72</v>
      </c>
    </row>
    <row r="126" spans="1:11" x14ac:dyDescent="0.25">
      <c r="A126">
        <v>2023</v>
      </c>
      <c r="B126">
        <v>7</v>
      </c>
      <c r="C126" t="s">
        <v>188</v>
      </c>
      <c r="D126" t="s">
        <v>125</v>
      </c>
      <c r="E126" t="s">
        <v>126</v>
      </c>
      <c r="F126" t="s">
        <v>127</v>
      </c>
      <c r="G126" t="s">
        <v>187</v>
      </c>
      <c r="H126" t="s">
        <v>16</v>
      </c>
      <c r="I126">
        <v>0</v>
      </c>
      <c r="J126" s="1">
        <v>606193.56999999995</v>
      </c>
      <c r="K126" s="1">
        <v>1213258.95</v>
      </c>
    </row>
    <row r="127" spans="1:11" x14ac:dyDescent="0.25">
      <c r="A127">
        <v>2023</v>
      </c>
      <c r="B127">
        <v>7</v>
      </c>
      <c r="C127" t="s">
        <v>189</v>
      </c>
      <c r="D127" t="s">
        <v>125</v>
      </c>
      <c r="E127" t="s">
        <v>126</v>
      </c>
      <c r="F127" t="s">
        <v>143</v>
      </c>
      <c r="G127" t="s">
        <v>187</v>
      </c>
      <c r="H127" t="s">
        <v>16</v>
      </c>
      <c r="I127">
        <v>0</v>
      </c>
      <c r="J127" s="1">
        <v>397814.53</v>
      </c>
      <c r="K127" s="1">
        <v>796201.18</v>
      </c>
    </row>
    <row r="128" spans="1:11" x14ac:dyDescent="0.25">
      <c r="A128">
        <v>2023</v>
      </c>
      <c r="B128">
        <v>7</v>
      </c>
      <c r="C128" t="s">
        <v>190</v>
      </c>
      <c r="D128" t="s">
        <v>125</v>
      </c>
      <c r="E128" t="s">
        <v>126</v>
      </c>
      <c r="F128" t="s">
        <v>143</v>
      </c>
      <c r="G128" t="s">
        <v>187</v>
      </c>
      <c r="H128" t="s">
        <v>16</v>
      </c>
      <c r="I128">
        <v>0</v>
      </c>
      <c r="J128" s="1">
        <v>681967.76</v>
      </c>
      <c r="K128" s="1">
        <v>1364916.31</v>
      </c>
    </row>
    <row r="129" spans="1:11" x14ac:dyDescent="0.25">
      <c r="A129">
        <v>2023</v>
      </c>
      <c r="B129">
        <v>7</v>
      </c>
      <c r="C129" t="s">
        <v>191</v>
      </c>
      <c r="D129" t="s">
        <v>125</v>
      </c>
      <c r="E129" t="s">
        <v>13</v>
      </c>
      <c r="F129" t="s">
        <v>14</v>
      </c>
      <c r="G129" t="s">
        <v>31</v>
      </c>
      <c r="H129" t="s">
        <v>16</v>
      </c>
      <c r="I129">
        <v>0</v>
      </c>
      <c r="J129" s="1">
        <v>1138921.6000000001</v>
      </c>
      <c r="K129" s="1">
        <v>1148058.42</v>
      </c>
    </row>
    <row r="130" spans="1:11" x14ac:dyDescent="0.25">
      <c r="A130">
        <v>2023</v>
      </c>
      <c r="B130">
        <v>7</v>
      </c>
      <c r="C130" t="s">
        <v>192</v>
      </c>
      <c r="D130" t="s">
        <v>125</v>
      </c>
      <c r="E130" t="s">
        <v>126</v>
      </c>
      <c r="F130" t="s">
        <v>14</v>
      </c>
      <c r="G130" t="s">
        <v>31</v>
      </c>
      <c r="H130" t="s">
        <v>16</v>
      </c>
      <c r="I130" s="1">
        <v>-20615.52</v>
      </c>
      <c r="J130" s="1">
        <v>68129.320000000007</v>
      </c>
      <c r="K130" s="1">
        <v>61669.35</v>
      </c>
    </row>
    <row r="131" spans="1:11" x14ac:dyDescent="0.25">
      <c r="A131">
        <v>2023</v>
      </c>
      <c r="B131">
        <v>7</v>
      </c>
      <c r="C131" t="s">
        <v>193</v>
      </c>
      <c r="D131" t="s">
        <v>125</v>
      </c>
      <c r="E131" t="s">
        <v>126</v>
      </c>
      <c r="F131" t="s">
        <v>156</v>
      </c>
      <c r="G131" t="s">
        <v>31</v>
      </c>
      <c r="H131" t="s">
        <v>52</v>
      </c>
      <c r="I131">
        <v>0</v>
      </c>
      <c r="J131" s="1">
        <v>1577720.23</v>
      </c>
      <c r="K131" s="1">
        <v>1577720.23</v>
      </c>
    </row>
    <row r="132" spans="1:11" x14ac:dyDescent="0.25">
      <c r="A132">
        <v>2023</v>
      </c>
      <c r="B132">
        <v>7</v>
      </c>
      <c r="C132" t="s">
        <v>194</v>
      </c>
      <c r="D132" t="s">
        <v>125</v>
      </c>
      <c r="E132" t="s">
        <v>126</v>
      </c>
      <c r="F132" t="s">
        <v>156</v>
      </c>
      <c r="G132" t="s">
        <v>31</v>
      </c>
      <c r="H132" t="s">
        <v>102</v>
      </c>
      <c r="I132">
        <v>0</v>
      </c>
      <c r="J132" s="1">
        <v>1567421.94</v>
      </c>
      <c r="K132" s="1">
        <v>1567421.94</v>
      </c>
    </row>
    <row r="133" spans="1:11" x14ac:dyDescent="0.25">
      <c r="A133">
        <v>2023</v>
      </c>
      <c r="B133">
        <v>7</v>
      </c>
      <c r="C133" t="s">
        <v>195</v>
      </c>
      <c r="D133" t="s">
        <v>125</v>
      </c>
      <c r="E133" t="s">
        <v>126</v>
      </c>
      <c r="F133" t="s">
        <v>156</v>
      </c>
      <c r="G133" t="s">
        <v>31</v>
      </c>
      <c r="H133" t="s">
        <v>102</v>
      </c>
      <c r="I133">
        <v>0</v>
      </c>
      <c r="J133" s="1">
        <v>1577720.23</v>
      </c>
      <c r="K133" s="1">
        <v>1577720.23</v>
      </c>
    </row>
    <row r="134" spans="1:11" x14ac:dyDescent="0.25">
      <c r="A134">
        <v>2023</v>
      </c>
      <c r="B134">
        <v>7</v>
      </c>
      <c r="C134" t="s">
        <v>196</v>
      </c>
      <c r="D134" t="s">
        <v>125</v>
      </c>
      <c r="E134" t="s">
        <v>126</v>
      </c>
      <c r="F134" t="s">
        <v>127</v>
      </c>
      <c r="G134" t="s">
        <v>31</v>
      </c>
      <c r="H134" t="s">
        <v>16</v>
      </c>
      <c r="I134">
        <v>642</v>
      </c>
      <c r="J134" s="1">
        <v>1357028.61</v>
      </c>
      <c r="K134" s="1">
        <v>1300101.23</v>
      </c>
    </row>
    <row r="135" spans="1:11" x14ac:dyDescent="0.25">
      <c r="A135">
        <v>2023</v>
      </c>
      <c r="B135">
        <v>7</v>
      </c>
      <c r="C135" t="s">
        <v>197</v>
      </c>
      <c r="D135" t="s">
        <v>125</v>
      </c>
      <c r="E135" t="s">
        <v>126</v>
      </c>
      <c r="F135" t="s">
        <v>127</v>
      </c>
      <c r="G135" t="s">
        <v>31</v>
      </c>
      <c r="H135" t="s">
        <v>16</v>
      </c>
      <c r="I135" s="1">
        <v>95586.48</v>
      </c>
      <c r="J135" s="1">
        <v>1193948.47</v>
      </c>
      <c r="K135" s="1">
        <v>1077594.92</v>
      </c>
    </row>
    <row r="136" spans="1:11" x14ac:dyDescent="0.25">
      <c r="A136">
        <v>2023</v>
      </c>
      <c r="B136">
        <v>7</v>
      </c>
      <c r="C136" t="s">
        <v>198</v>
      </c>
      <c r="D136" t="s">
        <v>125</v>
      </c>
      <c r="E136" t="s">
        <v>126</v>
      </c>
      <c r="F136" t="s">
        <v>127</v>
      </c>
      <c r="G136" t="s">
        <v>31</v>
      </c>
      <c r="H136" t="s">
        <v>16</v>
      </c>
      <c r="I136" s="1">
        <v>405013.89</v>
      </c>
      <c r="J136" s="1">
        <v>5108709.76</v>
      </c>
      <c r="K136" s="1">
        <v>4862645.05</v>
      </c>
    </row>
    <row r="137" spans="1:11" x14ac:dyDescent="0.25">
      <c r="A137">
        <v>2023</v>
      </c>
      <c r="B137">
        <v>7</v>
      </c>
      <c r="C137" t="s">
        <v>199</v>
      </c>
      <c r="D137" t="s">
        <v>125</v>
      </c>
      <c r="E137" t="s">
        <v>126</v>
      </c>
      <c r="F137" t="s">
        <v>127</v>
      </c>
      <c r="G137" t="s">
        <v>31</v>
      </c>
      <c r="H137" t="s">
        <v>52</v>
      </c>
      <c r="I137" s="1">
        <v>1244.19</v>
      </c>
      <c r="J137" s="1">
        <v>851700.07</v>
      </c>
      <c r="K137" s="1">
        <v>772984.97</v>
      </c>
    </row>
    <row r="138" spans="1:11" x14ac:dyDescent="0.25">
      <c r="A138">
        <v>2023</v>
      </c>
      <c r="B138">
        <v>7</v>
      </c>
      <c r="C138" t="s">
        <v>200</v>
      </c>
      <c r="D138" t="s">
        <v>125</v>
      </c>
      <c r="E138" t="s">
        <v>126</v>
      </c>
      <c r="F138" t="s">
        <v>127</v>
      </c>
      <c r="G138" t="s">
        <v>31</v>
      </c>
      <c r="H138" t="s">
        <v>102</v>
      </c>
      <c r="I138" s="1">
        <v>117179.38</v>
      </c>
      <c r="J138" s="1">
        <v>51938.58</v>
      </c>
      <c r="K138" s="1">
        <v>20633.330000000002</v>
      </c>
    </row>
    <row r="139" spans="1:11" x14ac:dyDescent="0.25">
      <c r="A139">
        <v>2023</v>
      </c>
      <c r="B139">
        <v>7</v>
      </c>
      <c r="C139" t="s">
        <v>201</v>
      </c>
      <c r="D139" t="s">
        <v>125</v>
      </c>
      <c r="E139" t="s">
        <v>126</v>
      </c>
      <c r="F139" t="s">
        <v>127</v>
      </c>
      <c r="G139" t="s">
        <v>31</v>
      </c>
      <c r="H139" t="s">
        <v>16</v>
      </c>
      <c r="I139" s="1">
        <v>938896.58</v>
      </c>
      <c r="J139" s="1">
        <v>946957.85</v>
      </c>
      <c r="K139" s="1">
        <v>942981.1</v>
      </c>
    </row>
    <row r="140" spans="1:11" x14ac:dyDescent="0.25">
      <c r="A140">
        <v>2023</v>
      </c>
      <c r="B140">
        <v>7</v>
      </c>
      <c r="C140" t="s">
        <v>202</v>
      </c>
      <c r="D140" t="s">
        <v>125</v>
      </c>
      <c r="E140" t="s">
        <v>126</v>
      </c>
      <c r="F140" t="s">
        <v>127</v>
      </c>
      <c r="G140" t="s">
        <v>31</v>
      </c>
      <c r="H140" t="s">
        <v>52</v>
      </c>
      <c r="I140" s="1">
        <v>315056.65999999997</v>
      </c>
      <c r="J140" s="1">
        <v>597526.78</v>
      </c>
      <c r="K140" s="1">
        <v>1576819.7</v>
      </c>
    </row>
    <row r="141" spans="1:11" x14ac:dyDescent="0.25">
      <c r="A141">
        <v>2023</v>
      </c>
      <c r="B141">
        <v>7</v>
      </c>
      <c r="C141" t="s">
        <v>203</v>
      </c>
      <c r="D141" t="s">
        <v>125</v>
      </c>
      <c r="E141" t="s">
        <v>126</v>
      </c>
      <c r="F141" t="s">
        <v>143</v>
      </c>
      <c r="G141" t="s">
        <v>31</v>
      </c>
      <c r="H141" t="s">
        <v>16</v>
      </c>
      <c r="I141" s="1">
        <v>-8840.07</v>
      </c>
      <c r="J141" s="1">
        <v>1521439.48</v>
      </c>
      <c r="K141" s="1">
        <v>1559060.1</v>
      </c>
    </row>
    <row r="142" spans="1:11" x14ac:dyDescent="0.25">
      <c r="A142">
        <v>2023</v>
      </c>
      <c r="B142">
        <v>7</v>
      </c>
      <c r="C142" t="s">
        <v>204</v>
      </c>
      <c r="D142" t="s">
        <v>125</v>
      </c>
      <c r="E142" t="s">
        <v>126</v>
      </c>
      <c r="F142" t="s">
        <v>143</v>
      </c>
      <c r="G142" t="s">
        <v>31</v>
      </c>
      <c r="H142" t="s">
        <v>16</v>
      </c>
      <c r="I142" s="1">
        <v>5629.14</v>
      </c>
      <c r="J142" s="1">
        <v>1794326.84</v>
      </c>
      <c r="K142" s="1">
        <v>1682151.19</v>
      </c>
    </row>
    <row r="143" spans="1:11" x14ac:dyDescent="0.25">
      <c r="A143">
        <v>2023</v>
      </c>
      <c r="B143">
        <v>7</v>
      </c>
      <c r="C143" t="s">
        <v>205</v>
      </c>
      <c r="D143" t="s">
        <v>125</v>
      </c>
      <c r="E143" t="s">
        <v>126</v>
      </c>
      <c r="F143" t="s">
        <v>143</v>
      </c>
      <c r="G143" t="s">
        <v>31</v>
      </c>
      <c r="H143" t="s">
        <v>102</v>
      </c>
      <c r="I143" s="1">
        <v>2056.19</v>
      </c>
      <c r="J143">
        <v>0</v>
      </c>
      <c r="K143">
        <v>0</v>
      </c>
    </row>
    <row r="144" spans="1:11" x14ac:dyDescent="0.25">
      <c r="A144">
        <v>2023</v>
      </c>
      <c r="B144">
        <v>7</v>
      </c>
      <c r="C144" t="s">
        <v>206</v>
      </c>
      <c r="D144" t="s">
        <v>125</v>
      </c>
      <c r="E144" t="s">
        <v>126</v>
      </c>
      <c r="F144" t="s">
        <v>143</v>
      </c>
      <c r="G144" t="s">
        <v>31</v>
      </c>
      <c r="H144" t="s">
        <v>104</v>
      </c>
      <c r="I144" s="1">
        <v>49999.48</v>
      </c>
      <c r="J144">
        <v>0</v>
      </c>
      <c r="K144">
        <v>0</v>
      </c>
    </row>
    <row r="145" spans="1:11" x14ac:dyDescent="0.25">
      <c r="A145">
        <v>2023</v>
      </c>
      <c r="B145">
        <v>7</v>
      </c>
      <c r="C145" t="s">
        <v>207</v>
      </c>
      <c r="D145" t="s">
        <v>125</v>
      </c>
      <c r="E145" t="s">
        <v>177</v>
      </c>
      <c r="F145" t="s">
        <v>178</v>
      </c>
      <c r="G145" t="s">
        <v>31</v>
      </c>
      <c r="H145" t="s">
        <v>16</v>
      </c>
      <c r="I145" s="1">
        <v>3004.09</v>
      </c>
      <c r="J145">
        <v>420</v>
      </c>
      <c r="K145">
        <v>0</v>
      </c>
    </row>
    <row r="146" spans="1:11" x14ac:dyDescent="0.25">
      <c r="A146">
        <v>2023</v>
      </c>
      <c r="B146">
        <v>7</v>
      </c>
      <c r="C146" t="s">
        <v>208</v>
      </c>
      <c r="D146" t="s">
        <v>125</v>
      </c>
      <c r="E146" t="s">
        <v>126</v>
      </c>
      <c r="F146" t="s">
        <v>127</v>
      </c>
      <c r="G146" t="s">
        <v>62</v>
      </c>
      <c r="H146" t="s">
        <v>16</v>
      </c>
      <c r="I146" s="1">
        <v>27390.3</v>
      </c>
      <c r="J146" s="1">
        <v>1499016.04</v>
      </c>
      <c r="K146" s="1">
        <v>1549373.68</v>
      </c>
    </row>
    <row r="147" spans="1:11" x14ac:dyDescent="0.25">
      <c r="A147">
        <v>2023</v>
      </c>
      <c r="B147">
        <v>7</v>
      </c>
      <c r="C147" t="s">
        <v>209</v>
      </c>
      <c r="D147" t="s">
        <v>125</v>
      </c>
      <c r="E147" t="s">
        <v>126</v>
      </c>
      <c r="F147" t="s">
        <v>127</v>
      </c>
      <c r="G147" t="s">
        <v>62</v>
      </c>
      <c r="H147" t="s">
        <v>52</v>
      </c>
      <c r="I147">
        <v>0</v>
      </c>
      <c r="J147" s="1">
        <v>124649.1</v>
      </c>
      <c r="K147" s="1">
        <v>124649.1</v>
      </c>
    </row>
    <row r="148" spans="1:11" x14ac:dyDescent="0.25">
      <c r="A148">
        <v>2023</v>
      </c>
      <c r="B148">
        <v>7</v>
      </c>
      <c r="C148" t="s">
        <v>210</v>
      </c>
      <c r="D148" t="s">
        <v>125</v>
      </c>
      <c r="E148" t="s">
        <v>126</v>
      </c>
      <c r="F148" t="s">
        <v>14</v>
      </c>
      <c r="G148" t="s">
        <v>211</v>
      </c>
      <c r="H148" t="s">
        <v>16</v>
      </c>
      <c r="I148">
        <v>918</v>
      </c>
      <c r="J148">
        <v>918</v>
      </c>
      <c r="K148">
        <v>918</v>
      </c>
    </row>
    <row r="149" spans="1:11" x14ac:dyDescent="0.25">
      <c r="A149">
        <v>2023</v>
      </c>
      <c r="B149">
        <v>7</v>
      </c>
      <c r="C149" t="s">
        <v>212</v>
      </c>
      <c r="D149" t="s">
        <v>125</v>
      </c>
      <c r="E149" t="s">
        <v>126</v>
      </c>
      <c r="F149" t="s">
        <v>127</v>
      </c>
      <c r="G149" t="s">
        <v>211</v>
      </c>
      <c r="H149" t="s">
        <v>16</v>
      </c>
      <c r="I149" s="1">
        <v>69244.12</v>
      </c>
      <c r="J149" s="1">
        <v>69244.12</v>
      </c>
      <c r="K149" s="1">
        <v>69244.12</v>
      </c>
    </row>
    <row r="150" spans="1:11" x14ac:dyDescent="0.25">
      <c r="A150">
        <v>2023</v>
      </c>
      <c r="B150">
        <v>7</v>
      </c>
      <c r="C150" t="s">
        <v>213</v>
      </c>
      <c r="D150" t="s">
        <v>125</v>
      </c>
      <c r="E150" t="s">
        <v>126</v>
      </c>
      <c r="F150" t="s">
        <v>127</v>
      </c>
      <c r="G150" t="s">
        <v>211</v>
      </c>
      <c r="H150" t="s">
        <v>16</v>
      </c>
      <c r="I150" s="1">
        <v>963571.28</v>
      </c>
      <c r="J150" s="1">
        <v>963571.28</v>
      </c>
      <c r="K150" s="1">
        <v>963571.28</v>
      </c>
    </row>
    <row r="151" spans="1:11" x14ac:dyDescent="0.25">
      <c r="A151">
        <v>2023</v>
      </c>
      <c r="B151">
        <v>7</v>
      </c>
      <c r="C151" t="s">
        <v>214</v>
      </c>
      <c r="D151" t="s">
        <v>125</v>
      </c>
      <c r="E151" t="s">
        <v>126</v>
      </c>
      <c r="F151" t="s">
        <v>127</v>
      </c>
      <c r="G151" t="s">
        <v>211</v>
      </c>
      <c r="H151" t="s">
        <v>52</v>
      </c>
      <c r="I151" s="1">
        <v>48627</v>
      </c>
      <c r="J151" s="1">
        <v>48627</v>
      </c>
      <c r="K151" s="1">
        <v>48627</v>
      </c>
    </row>
    <row r="152" spans="1:11" x14ac:dyDescent="0.25">
      <c r="A152">
        <v>2023</v>
      </c>
      <c r="B152">
        <v>7</v>
      </c>
      <c r="C152" t="s">
        <v>215</v>
      </c>
      <c r="D152" t="s">
        <v>125</v>
      </c>
      <c r="E152" t="s">
        <v>126</v>
      </c>
      <c r="F152" t="s">
        <v>143</v>
      </c>
      <c r="G152" t="s">
        <v>211</v>
      </c>
      <c r="H152" t="s">
        <v>16</v>
      </c>
      <c r="I152" s="1">
        <v>111597.26</v>
      </c>
      <c r="J152" s="1">
        <v>111597.26</v>
      </c>
      <c r="K152" s="1">
        <v>111597.26</v>
      </c>
    </row>
    <row r="153" spans="1:11" x14ac:dyDescent="0.25">
      <c r="A153">
        <v>2023</v>
      </c>
      <c r="B153">
        <v>7</v>
      </c>
      <c r="C153" t="s">
        <v>216</v>
      </c>
      <c r="D153" t="s">
        <v>125</v>
      </c>
      <c r="E153" t="s">
        <v>126</v>
      </c>
      <c r="F153" t="s">
        <v>143</v>
      </c>
      <c r="G153" t="s">
        <v>211</v>
      </c>
      <c r="H153" t="s">
        <v>16</v>
      </c>
      <c r="I153" s="1">
        <v>1140334.46</v>
      </c>
      <c r="J153" s="1">
        <v>1140334.46</v>
      </c>
      <c r="K153" s="1">
        <v>1140334.46</v>
      </c>
    </row>
    <row r="154" spans="1:11" x14ac:dyDescent="0.25">
      <c r="A154">
        <v>2023</v>
      </c>
      <c r="B154">
        <v>7</v>
      </c>
      <c r="C154" t="s">
        <v>217</v>
      </c>
      <c r="D154" t="s">
        <v>125</v>
      </c>
      <c r="E154" t="s">
        <v>126</v>
      </c>
      <c r="F154" t="s">
        <v>145</v>
      </c>
      <c r="G154" t="s">
        <v>211</v>
      </c>
      <c r="H154" t="s">
        <v>16</v>
      </c>
      <c r="I154" s="1">
        <v>17388</v>
      </c>
      <c r="J154" s="1">
        <v>17388</v>
      </c>
      <c r="K154" s="1">
        <v>17388</v>
      </c>
    </row>
    <row r="155" spans="1:11" x14ac:dyDescent="0.25">
      <c r="A155">
        <v>2023</v>
      </c>
      <c r="B155">
        <v>7</v>
      </c>
      <c r="C155" t="s">
        <v>218</v>
      </c>
      <c r="D155" t="s">
        <v>125</v>
      </c>
      <c r="E155" t="s">
        <v>126</v>
      </c>
      <c r="F155" t="s">
        <v>127</v>
      </c>
      <c r="G155" t="s">
        <v>219</v>
      </c>
      <c r="H155" t="s">
        <v>16</v>
      </c>
      <c r="I155">
        <v>0</v>
      </c>
      <c r="J155" s="1">
        <v>1995338.6</v>
      </c>
      <c r="K155" s="1">
        <v>1904603.3</v>
      </c>
    </row>
    <row r="156" spans="1:11" x14ac:dyDescent="0.25">
      <c r="A156">
        <v>2023</v>
      </c>
      <c r="B156">
        <v>7</v>
      </c>
      <c r="C156" t="s">
        <v>220</v>
      </c>
      <c r="D156" t="s">
        <v>125</v>
      </c>
      <c r="E156" t="s">
        <v>126</v>
      </c>
      <c r="F156" t="s">
        <v>127</v>
      </c>
      <c r="G156" t="s">
        <v>97</v>
      </c>
      <c r="H156" t="s">
        <v>16</v>
      </c>
      <c r="I156">
        <v>0</v>
      </c>
      <c r="J156" s="1">
        <v>573925.37</v>
      </c>
      <c r="K156" s="1">
        <v>1114350.02</v>
      </c>
    </row>
    <row r="157" spans="1:11" x14ac:dyDescent="0.25">
      <c r="A157">
        <v>2023</v>
      </c>
      <c r="B157">
        <v>7</v>
      </c>
      <c r="C157" t="s">
        <v>221</v>
      </c>
      <c r="D157" t="s">
        <v>125</v>
      </c>
      <c r="E157" t="s">
        <v>126</v>
      </c>
      <c r="F157" t="s">
        <v>127</v>
      </c>
      <c r="G157" t="s">
        <v>97</v>
      </c>
      <c r="H157" t="s">
        <v>104</v>
      </c>
      <c r="I157" s="1">
        <v>1308450.5900000001</v>
      </c>
      <c r="J157" s="1">
        <v>2871840.03</v>
      </c>
      <c r="K157" s="1">
        <v>4300845.0199999996</v>
      </c>
    </row>
    <row r="158" spans="1:11" x14ac:dyDescent="0.25">
      <c r="A158">
        <v>2023</v>
      </c>
      <c r="B158">
        <v>7</v>
      </c>
      <c r="C158" t="s">
        <v>222</v>
      </c>
      <c r="D158" t="s">
        <v>125</v>
      </c>
      <c r="E158" t="s">
        <v>126</v>
      </c>
      <c r="F158" t="s">
        <v>143</v>
      </c>
      <c r="G158" t="s">
        <v>97</v>
      </c>
      <c r="H158" t="s">
        <v>16</v>
      </c>
      <c r="I158" s="1">
        <v>-250000</v>
      </c>
      <c r="J158">
        <v>0</v>
      </c>
      <c r="K158" s="1">
        <v>12234.45</v>
      </c>
    </row>
    <row r="159" spans="1:11" x14ac:dyDescent="0.25">
      <c r="A159">
        <v>2023</v>
      </c>
      <c r="B159">
        <v>7</v>
      </c>
      <c r="C159" t="s">
        <v>223</v>
      </c>
      <c r="D159" t="s">
        <v>125</v>
      </c>
      <c r="E159" t="s">
        <v>126</v>
      </c>
      <c r="F159" t="s">
        <v>143</v>
      </c>
      <c r="G159" t="s">
        <v>97</v>
      </c>
      <c r="H159" t="s">
        <v>104</v>
      </c>
      <c r="I159" s="1">
        <v>558344.06999999995</v>
      </c>
      <c r="J159">
        <v>0</v>
      </c>
      <c r="K159" s="1">
        <v>1066910.4099999999</v>
      </c>
    </row>
    <row r="160" spans="1:11" x14ac:dyDescent="0.25">
      <c r="A160">
        <v>2023</v>
      </c>
      <c r="B160">
        <v>7</v>
      </c>
      <c r="C160" t="s">
        <v>224</v>
      </c>
      <c r="D160" t="s">
        <v>125</v>
      </c>
      <c r="E160" t="s">
        <v>126</v>
      </c>
      <c r="F160" t="s">
        <v>156</v>
      </c>
      <c r="G160" t="s">
        <v>42</v>
      </c>
      <c r="H160" t="s">
        <v>102</v>
      </c>
      <c r="I160">
        <v>0</v>
      </c>
      <c r="J160" s="1">
        <v>8685.0400000000009</v>
      </c>
      <c r="K160" s="1">
        <v>17125</v>
      </c>
    </row>
    <row r="161" spans="1:11" x14ac:dyDescent="0.25">
      <c r="A161">
        <v>2023</v>
      </c>
      <c r="B161">
        <v>7</v>
      </c>
      <c r="C161" t="s">
        <v>225</v>
      </c>
      <c r="D161" t="s">
        <v>125</v>
      </c>
      <c r="E161" t="s">
        <v>126</v>
      </c>
      <c r="F161" t="s">
        <v>127</v>
      </c>
      <c r="G161" t="s">
        <v>42</v>
      </c>
      <c r="H161" t="s">
        <v>16</v>
      </c>
      <c r="I161" s="1">
        <v>102258</v>
      </c>
      <c r="J161" s="1">
        <v>1105055.27</v>
      </c>
      <c r="K161" s="1">
        <v>761578.79</v>
      </c>
    </row>
    <row r="162" spans="1:11" x14ac:dyDescent="0.25">
      <c r="A162">
        <v>2023</v>
      </c>
      <c r="B162">
        <v>7</v>
      </c>
      <c r="C162" t="s">
        <v>226</v>
      </c>
      <c r="D162" t="s">
        <v>125</v>
      </c>
      <c r="E162" t="s">
        <v>126</v>
      </c>
      <c r="F162" t="s">
        <v>127</v>
      </c>
      <c r="G162" t="s">
        <v>42</v>
      </c>
      <c r="H162" t="s">
        <v>52</v>
      </c>
      <c r="I162">
        <v>0</v>
      </c>
      <c r="J162" s="1">
        <v>41860</v>
      </c>
      <c r="K162" s="1">
        <v>1127828</v>
      </c>
    </row>
    <row r="163" spans="1:11" x14ac:dyDescent="0.25">
      <c r="A163">
        <v>2023</v>
      </c>
      <c r="B163">
        <v>7</v>
      </c>
      <c r="C163" t="s">
        <v>227</v>
      </c>
      <c r="D163" t="s">
        <v>125</v>
      </c>
      <c r="E163" t="s">
        <v>126</v>
      </c>
      <c r="F163" t="s">
        <v>127</v>
      </c>
      <c r="G163" t="s">
        <v>42</v>
      </c>
      <c r="H163" t="s">
        <v>104</v>
      </c>
      <c r="I163" s="1">
        <v>95986</v>
      </c>
      <c r="J163" s="1">
        <v>2296914.89</v>
      </c>
      <c r="K163" s="1">
        <v>1535882.33</v>
      </c>
    </row>
    <row r="164" spans="1:11" x14ac:dyDescent="0.25">
      <c r="A164">
        <v>2023</v>
      </c>
      <c r="B164">
        <v>7</v>
      </c>
      <c r="C164" t="s">
        <v>228</v>
      </c>
      <c r="D164" t="s">
        <v>125</v>
      </c>
      <c r="E164" t="s">
        <v>126</v>
      </c>
      <c r="F164" t="s">
        <v>143</v>
      </c>
      <c r="G164" t="s">
        <v>42</v>
      </c>
      <c r="H164" t="s">
        <v>102</v>
      </c>
      <c r="I164">
        <v>0</v>
      </c>
      <c r="J164">
        <v>0</v>
      </c>
      <c r="K164" s="1">
        <v>10600</v>
      </c>
    </row>
    <row r="165" spans="1:11" x14ac:dyDescent="0.25">
      <c r="A165">
        <v>2023</v>
      </c>
      <c r="B165">
        <v>7</v>
      </c>
      <c r="C165" t="s">
        <v>229</v>
      </c>
      <c r="D165" t="s">
        <v>125</v>
      </c>
      <c r="E165" t="s">
        <v>126</v>
      </c>
      <c r="F165" t="s">
        <v>143</v>
      </c>
      <c r="G165" t="s">
        <v>42</v>
      </c>
      <c r="H165" t="s">
        <v>104</v>
      </c>
      <c r="I165">
        <v>0</v>
      </c>
      <c r="J165" s="1">
        <v>97362.27</v>
      </c>
      <c r="K165" s="1">
        <v>109999.8</v>
      </c>
    </row>
    <row r="166" spans="1:11" x14ac:dyDescent="0.25">
      <c r="A166">
        <v>2023</v>
      </c>
      <c r="B166">
        <v>7</v>
      </c>
      <c r="C166" t="s">
        <v>230</v>
      </c>
      <c r="D166" t="s">
        <v>125</v>
      </c>
      <c r="E166" t="s">
        <v>177</v>
      </c>
      <c r="F166" t="s">
        <v>178</v>
      </c>
      <c r="G166" t="s">
        <v>42</v>
      </c>
      <c r="H166" t="s">
        <v>16</v>
      </c>
      <c r="I166">
        <v>0</v>
      </c>
      <c r="J166">
        <v>0</v>
      </c>
      <c r="K166">
        <v>563.32000000000005</v>
      </c>
    </row>
    <row r="167" spans="1:11" x14ac:dyDescent="0.25">
      <c r="A167">
        <v>2023</v>
      </c>
      <c r="B167">
        <v>7</v>
      </c>
      <c r="C167" t="s">
        <v>231</v>
      </c>
      <c r="D167" t="s">
        <v>125</v>
      </c>
      <c r="E167" t="s">
        <v>126</v>
      </c>
      <c r="F167" t="s">
        <v>127</v>
      </c>
      <c r="G167" t="s">
        <v>128</v>
      </c>
      <c r="H167" t="s">
        <v>52</v>
      </c>
      <c r="I167" s="1">
        <v>2548525.62</v>
      </c>
      <c r="J167" s="1">
        <v>2548525.62</v>
      </c>
      <c r="K167" s="1">
        <v>2548525.62</v>
      </c>
    </row>
    <row r="168" spans="1:11" x14ac:dyDescent="0.25">
      <c r="A168">
        <v>2023</v>
      </c>
      <c r="B168">
        <v>7</v>
      </c>
      <c r="C168" t="s">
        <v>232</v>
      </c>
      <c r="D168" t="s">
        <v>125</v>
      </c>
      <c r="E168" t="s">
        <v>126</v>
      </c>
      <c r="F168" t="s">
        <v>143</v>
      </c>
      <c r="G168" t="s">
        <v>128</v>
      </c>
      <c r="H168" t="s">
        <v>52</v>
      </c>
      <c r="I168" s="1">
        <v>2355090.46</v>
      </c>
      <c r="J168" s="1">
        <v>2355090.46</v>
      </c>
      <c r="K168" s="1">
        <v>2355090.46</v>
      </c>
    </row>
    <row r="169" spans="1:11" x14ac:dyDescent="0.25">
      <c r="A169">
        <v>2023</v>
      </c>
      <c r="B169">
        <v>7</v>
      </c>
      <c r="C169" t="s">
        <v>233</v>
      </c>
      <c r="D169" t="s">
        <v>125</v>
      </c>
      <c r="E169" t="s">
        <v>126</v>
      </c>
      <c r="F169" t="s">
        <v>143</v>
      </c>
      <c r="G169" t="s">
        <v>128</v>
      </c>
      <c r="H169" t="s">
        <v>52</v>
      </c>
      <c r="I169" s="1">
        <v>56017.52</v>
      </c>
      <c r="J169" s="1">
        <v>56017.52</v>
      </c>
      <c r="K169" s="1">
        <v>56017.52</v>
      </c>
    </row>
    <row r="170" spans="1:11" x14ac:dyDescent="0.25">
      <c r="A170">
        <v>2023</v>
      </c>
      <c r="B170">
        <v>7</v>
      </c>
      <c r="C170" t="s">
        <v>234</v>
      </c>
      <c r="D170" t="s">
        <v>125</v>
      </c>
      <c r="E170" t="s">
        <v>126</v>
      </c>
      <c r="F170" t="s">
        <v>127</v>
      </c>
      <c r="G170" t="s">
        <v>15</v>
      </c>
      <c r="H170" t="s">
        <v>52</v>
      </c>
      <c r="I170" s="1">
        <v>12360620.800000001</v>
      </c>
      <c r="J170" s="1">
        <v>12360620.800000001</v>
      </c>
      <c r="K170" s="1">
        <v>12395386.82</v>
      </c>
    </row>
    <row r="171" spans="1:11" x14ac:dyDescent="0.25">
      <c r="A171">
        <v>2023</v>
      </c>
      <c r="B171">
        <v>7</v>
      </c>
      <c r="C171" t="s">
        <v>235</v>
      </c>
      <c r="D171" t="s">
        <v>125</v>
      </c>
      <c r="E171" t="s">
        <v>126</v>
      </c>
      <c r="F171" t="s">
        <v>127</v>
      </c>
      <c r="G171" t="s">
        <v>15</v>
      </c>
      <c r="H171" t="s">
        <v>52</v>
      </c>
      <c r="I171" s="1">
        <v>579871.47</v>
      </c>
      <c r="J171" s="1">
        <v>579871.47</v>
      </c>
      <c r="K171" s="1">
        <v>583045.26</v>
      </c>
    </row>
    <row r="172" spans="1:11" x14ac:dyDescent="0.25">
      <c r="A172">
        <v>2023</v>
      </c>
      <c r="B172">
        <v>7</v>
      </c>
      <c r="C172" t="s">
        <v>236</v>
      </c>
      <c r="D172" t="s">
        <v>125</v>
      </c>
      <c r="E172" t="s">
        <v>126</v>
      </c>
      <c r="F172" t="s">
        <v>143</v>
      </c>
      <c r="G172" t="s">
        <v>15</v>
      </c>
      <c r="H172" t="s">
        <v>52</v>
      </c>
      <c r="I172" s="1">
        <v>9144996.7100000009</v>
      </c>
      <c r="J172" s="1">
        <v>9144996.7100000009</v>
      </c>
      <c r="K172" s="1">
        <v>9179214.6899999995</v>
      </c>
    </row>
    <row r="173" spans="1:11" x14ac:dyDescent="0.25">
      <c r="A173">
        <v>2023</v>
      </c>
      <c r="B173">
        <v>7</v>
      </c>
      <c r="C173" t="s">
        <v>237</v>
      </c>
      <c r="D173" t="s">
        <v>125</v>
      </c>
      <c r="E173" t="s">
        <v>126</v>
      </c>
      <c r="F173" t="s">
        <v>143</v>
      </c>
      <c r="G173" t="s">
        <v>15</v>
      </c>
      <c r="H173" t="s">
        <v>52</v>
      </c>
      <c r="I173" s="1">
        <v>917061.55</v>
      </c>
      <c r="J173" s="1">
        <v>917061.55</v>
      </c>
      <c r="K173" s="1">
        <v>917061.55</v>
      </c>
    </row>
    <row r="174" spans="1:11" x14ac:dyDescent="0.25">
      <c r="A174">
        <v>2023</v>
      </c>
      <c r="B174">
        <v>7</v>
      </c>
      <c r="C174" t="s">
        <v>238</v>
      </c>
      <c r="D174" t="s">
        <v>125</v>
      </c>
      <c r="E174" t="s">
        <v>126</v>
      </c>
      <c r="F174" t="s">
        <v>145</v>
      </c>
      <c r="G174" t="s">
        <v>15</v>
      </c>
      <c r="H174" t="s">
        <v>52</v>
      </c>
      <c r="I174" s="1">
        <v>314609.42</v>
      </c>
      <c r="J174" s="1">
        <v>314609.42</v>
      </c>
      <c r="K174" s="1">
        <v>314609.42</v>
      </c>
    </row>
    <row r="175" spans="1:11" x14ac:dyDescent="0.25">
      <c r="A175">
        <v>2023</v>
      </c>
      <c r="B175">
        <v>7</v>
      </c>
      <c r="C175" t="s">
        <v>239</v>
      </c>
      <c r="D175" t="s">
        <v>125</v>
      </c>
      <c r="E175" t="s">
        <v>126</v>
      </c>
      <c r="F175" t="s">
        <v>127</v>
      </c>
      <c r="G175" t="s">
        <v>133</v>
      </c>
      <c r="H175" t="s">
        <v>52</v>
      </c>
      <c r="I175" s="1">
        <v>627205.15</v>
      </c>
      <c r="J175" s="1">
        <v>627205.15</v>
      </c>
      <c r="K175" s="1">
        <v>627205.15</v>
      </c>
    </row>
    <row r="176" spans="1:11" x14ac:dyDescent="0.25">
      <c r="A176">
        <v>2023</v>
      </c>
      <c r="B176">
        <v>7</v>
      </c>
      <c r="C176" t="s">
        <v>240</v>
      </c>
      <c r="D176" t="s">
        <v>125</v>
      </c>
      <c r="E176" t="s">
        <v>126</v>
      </c>
      <c r="F176" t="s">
        <v>143</v>
      </c>
      <c r="G176" t="s">
        <v>133</v>
      </c>
      <c r="H176" t="s">
        <v>52</v>
      </c>
      <c r="I176" s="1">
        <v>567353.86</v>
      </c>
      <c r="J176" s="1">
        <v>567353.86</v>
      </c>
      <c r="K176" s="1">
        <v>567353.86</v>
      </c>
    </row>
    <row r="177" spans="1:11" x14ac:dyDescent="0.25">
      <c r="A177">
        <v>2023</v>
      </c>
      <c r="B177">
        <v>7</v>
      </c>
      <c r="C177" t="s">
        <v>241</v>
      </c>
      <c r="D177" t="s">
        <v>125</v>
      </c>
      <c r="E177" t="s">
        <v>126</v>
      </c>
      <c r="F177" t="s">
        <v>143</v>
      </c>
      <c r="G177" t="s">
        <v>133</v>
      </c>
      <c r="H177" t="s">
        <v>52</v>
      </c>
      <c r="I177" s="1">
        <v>13842.62</v>
      </c>
      <c r="J177" s="1">
        <v>13842.62</v>
      </c>
      <c r="K177" s="1">
        <v>13842.62</v>
      </c>
    </row>
    <row r="178" spans="1:11" x14ac:dyDescent="0.25">
      <c r="A178">
        <v>2023</v>
      </c>
      <c r="B178">
        <v>7</v>
      </c>
      <c r="C178" t="s">
        <v>242</v>
      </c>
      <c r="D178" t="s">
        <v>125</v>
      </c>
      <c r="E178" t="s">
        <v>126</v>
      </c>
      <c r="F178" t="s">
        <v>127</v>
      </c>
      <c r="G178" t="s">
        <v>137</v>
      </c>
      <c r="H178" t="s">
        <v>52</v>
      </c>
      <c r="I178" s="1">
        <v>821839.79</v>
      </c>
      <c r="J178" s="1">
        <v>821839.79</v>
      </c>
      <c r="K178" s="1">
        <v>821839.79</v>
      </c>
    </row>
    <row r="179" spans="1:11" x14ac:dyDescent="0.25">
      <c r="A179">
        <v>2023</v>
      </c>
      <c r="B179">
        <v>7</v>
      </c>
      <c r="C179" t="s">
        <v>243</v>
      </c>
      <c r="D179" t="s">
        <v>125</v>
      </c>
      <c r="E179" t="s">
        <v>126</v>
      </c>
      <c r="F179" t="s">
        <v>127</v>
      </c>
      <c r="G179" t="s">
        <v>137</v>
      </c>
      <c r="H179" t="s">
        <v>52</v>
      </c>
      <c r="I179" s="1">
        <v>4928.5600000000004</v>
      </c>
      <c r="J179" s="1">
        <v>4928.5600000000004</v>
      </c>
      <c r="K179" s="1">
        <v>4928.5600000000004</v>
      </c>
    </row>
    <row r="180" spans="1:11" x14ac:dyDescent="0.25">
      <c r="A180">
        <v>2023</v>
      </c>
      <c r="B180">
        <v>7</v>
      </c>
      <c r="C180" t="s">
        <v>244</v>
      </c>
      <c r="D180" t="s">
        <v>125</v>
      </c>
      <c r="E180" t="s">
        <v>126</v>
      </c>
      <c r="F180" t="s">
        <v>143</v>
      </c>
      <c r="G180" t="s">
        <v>137</v>
      </c>
      <c r="H180" t="s">
        <v>52</v>
      </c>
      <c r="I180" s="1">
        <v>177957.79</v>
      </c>
      <c r="J180" s="1">
        <v>177957.79</v>
      </c>
      <c r="K180" s="1">
        <v>177957.79</v>
      </c>
    </row>
    <row r="181" spans="1:11" x14ac:dyDescent="0.25">
      <c r="A181">
        <v>2023</v>
      </c>
      <c r="B181">
        <v>7</v>
      </c>
      <c r="C181" t="s">
        <v>245</v>
      </c>
      <c r="D181" t="s">
        <v>125</v>
      </c>
      <c r="E181" t="s">
        <v>126</v>
      </c>
      <c r="F181" t="s">
        <v>143</v>
      </c>
      <c r="G181" t="s">
        <v>137</v>
      </c>
      <c r="H181" t="s">
        <v>52</v>
      </c>
      <c r="I181" s="1">
        <v>7522.4</v>
      </c>
      <c r="J181" s="1">
        <v>7522.4</v>
      </c>
      <c r="K181" s="1">
        <v>7522.4</v>
      </c>
    </row>
    <row r="182" spans="1:11" x14ac:dyDescent="0.25">
      <c r="A182">
        <v>2023</v>
      </c>
      <c r="B182">
        <v>7</v>
      </c>
      <c r="C182" t="s">
        <v>246</v>
      </c>
      <c r="D182" t="s">
        <v>125</v>
      </c>
      <c r="E182" t="s">
        <v>126</v>
      </c>
      <c r="F182" t="s">
        <v>145</v>
      </c>
      <c r="G182" t="s">
        <v>137</v>
      </c>
      <c r="H182" t="s">
        <v>52</v>
      </c>
      <c r="I182" s="1">
        <v>4289.8</v>
      </c>
      <c r="J182" s="1">
        <v>4289.8</v>
      </c>
      <c r="K182" s="1">
        <v>4289.8</v>
      </c>
    </row>
    <row r="183" spans="1:11" x14ac:dyDescent="0.25">
      <c r="A183">
        <v>2023</v>
      </c>
      <c r="B183">
        <v>7</v>
      </c>
      <c r="C183" t="s">
        <v>247</v>
      </c>
      <c r="D183" t="s">
        <v>125</v>
      </c>
      <c r="E183" t="s">
        <v>126</v>
      </c>
      <c r="F183" t="s">
        <v>127</v>
      </c>
      <c r="G183" t="s">
        <v>248</v>
      </c>
      <c r="H183" t="s">
        <v>52</v>
      </c>
      <c r="I183" s="1">
        <v>166667.68</v>
      </c>
      <c r="J183" s="1">
        <v>166667.68</v>
      </c>
      <c r="K183" s="1">
        <v>152628.93</v>
      </c>
    </row>
    <row r="184" spans="1:11" x14ac:dyDescent="0.25">
      <c r="A184">
        <v>2023</v>
      </c>
      <c r="B184">
        <v>7</v>
      </c>
      <c r="C184" t="s">
        <v>249</v>
      </c>
      <c r="D184" t="s">
        <v>125</v>
      </c>
      <c r="E184" t="s">
        <v>126</v>
      </c>
      <c r="F184" t="s">
        <v>143</v>
      </c>
      <c r="G184" t="s">
        <v>248</v>
      </c>
      <c r="H184" t="s">
        <v>52</v>
      </c>
      <c r="I184" s="1">
        <v>58333.48</v>
      </c>
      <c r="J184" s="1">
        <v>58333.48</v>
      </c>
      <c r="K184" s="1">
        <v>39909.21</v>
      </c>
    </row>
    <row r="185" spans="1:11" x14ac:dyDescent="0.25">
      <c r="A185">
        <v>2023</v>
      </c>
      <c r="B185">
        <v>7</v>
      </c>
      <c r="C185" t="s">
        <v>250</v>
      </c>
      <c r="D185" t="s">
        <v>125</v>
      </c>
      <c r="E185" t="s">
        <v>126</v>
      </c>
      <c r="F185" t="s">
        <v>127</v>
      </c>
      <c r="G185" t="s">
        <v>133</v>
      </c>
      <c r="H185" t="s">
        <v>52</v>
      </c>
      <c r="I185" s="1">
        <v>3978482.72</v>
      </c>
      <c r="J185" s="1">
        <v>3978482.72</v>
      </c>
      <c r="K185" s="1">
        <v>3978482.72</v>
      </c>
    </row>
    <row r="186" spans="1:11" x14ac:dyDescent="0.25">
      <c r="A186">
        <v>2023</v>
      </c>
      <c r="B186">
        <v>7</v>
      </c>
      <c r="C186" t="s">
        <v>251</v>
      </c>
      <c r="D186" t="s">
        <v>125</v>
      </c>
      <c r="E186" t="s">
        <v>126</v>
      </c>
      <c r="F186" t="s">
        <v>127</v>
      </c>
      <c r="G186" t="s">
        <v>133</v>
      </c>
      <c r="H186" t="s">
        <v>52</v>
      </c>
      <c r="I186" s="1">
        <v>175574.73</v>
      </c>
      <c r="J186" s="1">
        <v>175574.73</v>
      </c>
      <c r="K186" s="1">
        <v>175574.73</v>
      </c>
    </row>
    <row r="187" spans="1:11" x14ac:dyDescent="0.25">
      <c r="A187">
        <v>2023</v>
      </c>
      <c r="B187">
        <v>7</v>
      </c>
      <c r="C187" t="s">
        <v>252</v>
      </c>
      <c r="D187" t="s">
        <v>125</v>
      </c>
      <c r="E187" t="s">
        <v>126</v>
      </c>
      <c r="F187" t="s">
        <v>143</v>
      </c>
      <c r="G187" t="s">
        <v>133</v>
      </c>
      <c r="H187" t="s">
        <v>52</v>
      </c>
      <c r="I187" s="1">
        <v>2999399.54</v>
      </c>
      <c r="J187" s="1">
        <v>2999399.54</v>
      </c>
      <c r="K187" s="1">
        <v>2999399.54</v>
      </c>
    </row>
    <row r="188" spans="1:11" x14ac:dyDescent="0.25">
      <c r="A188">
        <v>2023</v>
      </c>
      <c r="B188">
        <v>7</v>
      </c>
      <c r="C188" t="s">
        <v>253</v>
      </c>
      <c r="D188" t="s">
        <v>125</v>
      </c>
      <c r="E188" t="s">
        <v>126</v>
      </c>
      <c r="F188" t="s">
        <v>143</v>
      </c>
      <c r="G188" t="s">
        <v>133</v>
      </c>
      <c r="H188" t="s">
        <v>52</v>
      </c>
      <c r="I188" s="1">
        <v>322772.28999999998</v>
      </c>
      <c r="J188" s="1">
        <v>322772.28999999998</v>
      </c>
      <c r="K188" s="1">
        <v>322772.28999999998</v>
      </c>
    </row>
    <row r="189" spans="1:11" x14ac:dyDescent="0.25">
      <c r="A189">
        <v>2023</v>
      </c>
      <c r="B189">
        <v>7</v>
      </c>
      <c r="C189" t="s">
        <v>254</v>
      </c>
      <c r="D189" t="s">
        <v>125</v>
      </c>
      <c r="E189" t="s">
        <v>126</v>
      </c>
      <c r="F189" t="s">
        <v>145</v>
      </c>
      <c r="G189" t="s">
        <v>133</v>
      </c>
      <c r="H189" t="s">
        <v>52</v>
      </c>
      <c r="I189" s="1">
        <v>91999.78</v>
      </c>
      <c r="J189" s="1">
        <v>91999.78</v>
      </c>
      <c r="K189" s="1">
        <v>91999.78</v>
      </c>
    </row>
    <row r="190" spans="1:11" x14ac:dyDescent="0.25">
      <c r="A190">
        <v>2023</v>
      </c>
      <c r="B190">
        <v>7</v>
      </c>
      <c r="C190" t="s">
        <v>255</v>
      </c>
      <c r="D190" t="s">
        <v>125</v>
      </c>
      <c r="E190" t="s">
        <v>126</v>
      </c>
      <c r="F190" t="s">
        <v>145</v>
      </c>
      <c r="G190" t="s">
        <v>24</v>
      </c>
      <c r="H190" t="s">
        <v>52</v>
      </c>
      <c r="I190" s="1">
        <v>8577.5</v>
      </c>
      <c r="J190">
        <v>0</v>
      </c>
      <c r="K190">
        <v>0</v>
      </c>
    </row>
    <row r="191" spans="1:11" x14ac:dyDescent="0.25">
      <c r="A191">
        <v>2023</v>
      </c>
      <c r="B191">
        <v>7</v>
      </c>
      <c r="C191" t="s">
        <v>256</v>
      </c>
      <c r="D191" t="s">
        <v>125</v>
      </c>
      <c r="E191" t="s">
        <v>126</v>
      </c>
      <c r="F191" t="s">
        <v>127</v>
      </c>
      <c r="G191" t="s">
        <v>187</v>
      </c>
      <c r="H191" t="s">
        <v>52</v>
      </c>
      <c r="I191">
        <v>0</v>
      </c>
      <c r="J191" s="1">
        <v>113661.29</v>
      </c>
      <c r="K191" s="1">
        <v>227486.04</v>
      </c>
    </row>
    <row r="192" spans="1:11" x14ac:dyDescent="0.25">
      <c r="A192">
        <v>2023</v>
      </c>
      <c r="B192">
        <v>7</v>
      </c>
      <c r="C192" t="s">
        <v>257</v>
      </c>
      <c r="D192" t="s">
        <v>125</v>
      </c>
      <c r="E192" t="s">
        <v>126</v>
      </c>
      <c r="F192" t="s">
        <v>127</v>
      </c>
      <c r="G192" t="s">
        <v>62</v>
      </c>
      <c r="H192" t="s">
        <v>52</v>
      </c>
      <c r="I192">
        <v>0</v>
      </c>
      <c r="J192" s="1">
        <v>27900</v>
      </c>
      <c r="K192" s="1">
        <v>55800</v>
      </c>
    </row>
    <row r="193" spans="1:11" x14ac:dyDescent="0.25">
      <c r="A193">
        <v>2023</v>
      </c>
      <c r="B193">
        <v>7</v>
      </c>
      <c r="C193" t="s">
        <v>258</v>
      </c>
      <c r="D193" t="s">
        <v>125</v>
      </c>
      <c r="E193" t="s">
        <v>126</v>
      </c>
      <c r="F193" t="s">
        <v>127</v>
      </c>
      <c r="G193" t="s">
        <v>97</v>
      </c>
      <c r="H193" t="s">
        <v>52</v>
      </c>
      <c r="I193">
        <v>1</v>
      </c>
      <c r="J193">
        <v>0</v>
      </c>
      <c r="K193">
        <v>0</v>
      </c>
    </row>
    <row r="194" spans="1:11" x14ac:dyDescent="0.25">
      <c r="A194">
        <v>2023</v>
      </c>
      <c r="B194">
        <v>7</v>
      </c>
      <c r="C194" t="s">
        <v>259</v>
      </c>
      <c r="D194" t="s">
        <v>125</v>
      </c>
      <c r="E194" t="s">
        <v>126</v>
      </c>
      <c r="F194" t="s">
        <v>143</v>
      </c>
      <c r="G194" t="s">
        <v>97</v>
      </c>
      <c r="H194" t="s">
        <v>52</v>
      </c>
      <c r="I194">
        <v>0</v>
      </c>
      <c r="J194">
        <v>0</v>
      </c>
      <c r="K194" s="1">
        <v>145630.15</v>
      </c>
    </row>
    <row r="195" spans="1:11" x14ac:dyDescent="0.25">
      <c r="A195">
        <v>2023</v>
      </c>
      <c r="B195">
        <v>7</v>
      </c>
      <c r="C195" t="s">
        <v>260</v>
      </c>
      <c r="D195" t="s">
        <v>125</v>
      </c>
      <c r="E195" t="s">
        <v>126</v>
      </c>
      <c r="F195" t="s">
        <v>127</v>
      </c>
      <c r="G195" t="s">
        <v>42</v>
      </c>
      <c r="H195" t="s">
        <v>52</v>
      </c>
      <c r="I195" s="1">
        <v>388102</v>
      </c>
      <c r="J195" s="1">
        <v>325910</v>
      </c>
      <c r="K195">
        <v>0</v>
      </c>
    </row>
    <row r="196" spans="1:11" x14ac:dyDescent="0.25">
      <c r="A196">
        <v>2023</v>
      </c>
      <c r="B196">
        <v>7</v>
      </c>
      <c r="C196" t="s">
        <v>261</v>
      </c>
      <c r="D196" t="s">
        <v>125</v>
      </c>
      <c r="E196" t="s">
        <v>126</v>
      </c>
      <c r="F196" t="s">
        <v>143</v>
      </c>
      <c r="G196" t="s">
        <v>42</v>
      </c>
      <c r="H196" t="s">
        <v>52</v>
      </c>
      <c r="I196">
        <v>0</v>
      </c>
      <c r="J196" s="1">
        <v>213399.11</v>
      </c>
      <c r="K196" s="1">
        <v>137199.10999999999</v>
      </c>
    </row>
    <row r="197" spans="1:11" x14ac:dyDescent="0.25">
      <c r="A197">
        <v>2023</v>
      </c>
      <c r="B197">
        <v>7</v>
      </c>
      <c r="C197" t="s">
        <v>262</v>
      </c>
      <c r="D197" t="s">
        <v>263</v>
      </c>
      <c r="E197" t="s">
        <v>37</v>
      </c>
      <c r="F197" t="s">
        <v>264</v>
      </c>
      <c r="G197" t="s">
        <v>15</v>
      </c>
      <c r="H197" t="s">
        <v>16</v>
      </c>
      <c r="I197" s="1">
        <v>612508.48</v>
      </c>
      <c r="J197" s="1">
        <v>612508.48</v>
      </c>
      <c r="K197" s="1">
        <v>612508.48</v>
      </c>
    </row>
    <row r="198" spans="1:11" x14ac:dyDescent="0.25">
      <c r="A198">
        <v>2023</v>
      </c>
      <c r="B198">
        <v>7</v>
      </c>
      <c r="C198" t="s">
        <v>265</v>
      </c>
      <c r="D198" t="s">
        <v>263</v>
      </c>
      <c r="E198" t="s">
        <v>37</v>
      </c>
      <c r="F198" t="s">
        <v>264</v>
      </c>
      <c r="G198" t="s">
        <v>81</v>
      </c>
      <c r="H198" t="s">
        <v>16</v>
      </c>
      <c r="I198">
        <v>0</v>
      </c>
      <c r="J198" s="1">
        <v>14005.08</v>
      </c>
      <c r="K198" s="1">
        <v>104918.67</v>
      </c>
    </row>
    <row r="199" spans="1:11" x14ac:dyDescent="0.25">
      <c r="A199">
        <v>2023</v>
      </c>
      <c r="B199">
        <v>7</v>
      </c>
      <c r="C199" t="s">
        <v>266</v>
      </c>
      <c r="D199" t="s">
        <v>263</v>
      </c>
      <c r="E199" t="s">
        <v>37</v>
      </c>
      <c r="F199" t="s">
        <v>264</v>
      </c>
      <c r="G199" t="s">
        <v>81</v>
      </c>
      <c r="H199" t="s">
        <v>267</v>
      </c>
      <c r="I199">
        <v>0</v>
      </c>
      <c r="J199" s="1">
        <v>12910</v>
      </c>
      <c r="K199">
        <v>0</v>
      </c>
    </row>
    <row r="200" spans="1:11" x14ac:dyDescent="0.25">
      <c r="A200">
        <v>2023</v>
      </c>
      <c r="B200">
        <v>7</v>
      </c>
      <c r="C200" t="s">
        <v>268</v>
      </c>
      <c r="D200" t="s">
        <v>263</v>
      </c>
      <c r="E200" t="s">
        <v>37</v>
      </c>
      <c r="F200" t="s">
        <v>264</v>
      </c>
      <c r="G200" t="s">
        <v>81</v>
      </c>
      <c r="H200" t="s">
        <v>104</v>
      </c>
      <c r="I200">
        <v>0</v>
      </c>
      <c r="J200" s="1">
        <v>77598.92</v>
      </c>
      <c r="K200" s="1">
        <v>77598.92</v>
      </c>
    </row>
    <row r="201" spans="1:11" x14ac:dyDescent="0.25">
      <c r="A201">
        <v>2023</v>
      </c>
      <c r="B201">
        <v>7</v>
      </c>
      <c r="C201" t="s">
        <v>269</v>
      </c>
      <c r="D201" t="s">
        <v>263</v>
      </c>
      <c r="E201" t="s">
        <v>37</v>
      </c>
      <c r="F201" t="s">
        <v>264</v>
      </c>
      <c r="G201" t="s">
        <v>20</v>
      </c>
      <c r="H201" t="s">
        <v>16</v>
      </c>
      <c r="I201">
        <v>0</v>
      </c>
      <c r="J201" s="1">
        <v>4237959.51</v>
      </c>
      <c r="K201" s="1">
        <v>2165037.23</v>
      </c>
    </row>
    <row r="202" spans="1:11" x14ac:dyDescent="0.25">
      <c r="A202">
        <v>2023</v>
      </c>
      <c r="B202">
        <v>7</v>
      </c>
      <c r="C202" t="s">
        <v>270</v>
      </c>
      <c r="D202" t="s">
        <v>263</v>
      </c>
      <c r="E202" t="s">
        <v>37</v>
      </c>
      <c r="F202" t="s">
        <v>264</v>
      </c>
      <c r="G202" t="s">
        <v>24</v>
      </c>
      <c r="H202" t="s">
        <v>16</v>
      </c>
      <c r="I202" s="1">
        <v>162954.91</v>
      </c>
      <c r="J202" s="1">
        <v>67606.84</v>
      </c>
      <c r="K202" s="1">
        <v>87381.25</v>
      </c>
    </row>
    <row r="203" spans="1:11" x14ac:dyDescent="0.25">
      <c r="A203">
        <v>2023</v>
      </c>
      <c r="B203">
        <v>7</v>
      </c>
      <c r="C203" t="s">
        <v>271</v>
      </c>
      <c r="D203" t="s">
        <v>263</v>
      </c>
      <c r="E203" t="s">
        <v>37</v>
      </c>
      <c r="F203" t="s">
        <v>264</v>
      </c>
      <c r="G203" t="s">
        <v>24</v>
      </c>
      <c r="H203" t="s">
        <v>16</v>
      </c>
      <c r="I203">
        <v>0</v>
      </c>
      <c r="J203" s="1">
        <v>6854.6</v>
      </c>
      <c r="K203">
        <v>0</v>
      </c>
    </row>
    <row r="204" spans="1:11" x14ac:dyDescent="0.25">
      <c r="A204">
        <v>2023</v>
      </c>
      <c r="B204">
        <v>7</v>
      </c>
      <c r="C204" t="s">
        <v>272</v>
      </c>
      <c r="D204" t="s">
        <v>263</v>
      </c>
      <c r="E204" t="s">
        <v>37</v>
      </c>
      <c r="F204" t="s">
        <v>264</v>
      </c>
      <c r="G204" t="s">
        <v>28</v>
      </c>
      <c r="H204" t="s">
        <v>16</v>
      </c>
      <c r="I204" s="1">
        <v>9898.59</v>
      </c>
      <c r="J204" s="1">
        <v>9898.59</v>
      </c>
      <c r="K204" s="1">
        <v>9898.59</v>
      </c>
    </row>
    <row r="205" spans="1:11" x14ac:dyDescent="0.25">
      <c r="A205">
        <v>2023</v>
      </c>
      <c r="B205">
        <v>7</v>
      </c>
      <c r="C205" t="s">
        <v>273</v>
      </c>
      <c r="D205" t="s">
        <v>263</v>
      </c>
      <c r="E205" t="s">
        <v>37</v>
      </c>
      <c r="F205" t="s">
        <v>264</v>
      </c>
      <c r="G205" t="s">
        <v>28</v>
      </c>
      <c r="H205" t="s">
        <v>16</v>
      </c>
      <c r="I205" s="1">
        <v>133483.35</v>
      </c>
      <c r="J205" s="1">
        <v>123523.35</v>
      </c>
      <c r="K205" s="1">
        <v>127254.7</v>
      </c>
    </row>
    <row r="206" spans="1:11" x14ac:dyDescent="0.25">
      <c r="A206">
        <v>2023</v>
      </c>
      <c r="B206">
        <v>7</v>
      </c>
      <c r="C206" t="s">
        <v>274</v>
      </c>
      <c r="D206" t="s">
        <v>263</v>
      </c>
      <c r="E206" t="s">
        <v>37</v>
      </c>
      <c r="F206" t="s">
        <v>264</v>
      </c>
      <c r="G206" t="s">
        <v>31</v>
      </c>
      <c r="H206" t="s">
        <v>16</v>
      </c>
      <c r="I206" s="1">
        <v>78989.98</v>
      </c>
      <c r="J206" s="1">
        <v>43676.67</v>
      </c>
      <c r="K206" s="1">
        <v>43143.67</v>
      </c>
    </row>
    <row r="207" spans="1:11" x14ac:dyDescent="0.25">
      <c r="A207">
        <v>2023</v>
      </c>
      <c r="B207">
        <v>7</v>
      </c>
      <c r="C207" t="s">
        <v>275</v>
      </c>
      <c r="D207" t="s">
        <v>263</v>
      </c>
      <c r="E207" t="s">
        <v>37</v>
      </c>
      <c r="F207" t="s">
        <v>264</v>
      </c>
      <c r="G207" t="s">
        <v>31</v>
      </c>
      <c r="H207" t="s">
        <v>16</v>
      </c>
      <c r="I207" s="1">
        <v>455535.65</v>
      </c>
      <c r="J207" s="1">
        <v>418310.53</v>
      </c>
      <c r="K207" s="1">
        <v>234744.23</v>
      </c>
    </row>
    <row r="208" spans="1:11" x14ac:dyDescent="0.25">
      <c r="A208">
        <v>2023</v>
      </c>
      <c r="B208">
        <v>7</v>
      </c>
      <c r="C208" t="s">
        <v>276</v>
      </c>
      <c r="D208" t="s">
        <v>263</v>
      </c>
      <c r="E208" t="s">
        <v>37</v>
      </c>
      <c r="F208" t="s">
        <v>264</v>
      </c>
      <c r="G208" t="s">
        <v>31</v>
      </c>
      <c r="H208" t="s">
        <v>55</v>
      </c>
      <c r="I208">
        <v>-27.9</v>
      </c>
      <c r="J208" s="1">
        <v>986137.21</v>
      </c>
      <c r="K208" s="1">
        <v>931131.05</v>
      </c>
    </row>
    <row r="209" spans="1:11" x14ac:dyDescent="0.25">
      <c r="A209">
        <v>2023</v>
      </c>
      <c r="B209">
        <v>7</v>
      </c>
      <c r="C209" t="s">
        <v>277</v>
      </c>
      <c r="D209" t="s">
        <v>263</v>
      </c>
      <c r="E209" t="s">
        <v>37</v>
      </c>
      <c r="F209" t="s">
        <v>264</v>
      </c>
      <c r="G209" t="s">
        <v>31</v>
      </c>
      <c r="H209" t="s">
        <v>16</v>
      </c>
      <c r="I209" s="1">
        <v>557820</v>
      </c>
      <c r="J209" s="1">
        <v>417294.45</v>
      </c>
      <c r="K209" s="1">
        <v>635633.51</v>
      </c>
    </row>
    <row r="210" spans="1:11" x14ac:dyDescent="0.25">
      <c r="A210">
        <v>2023</v>
      </c>
      <c r="B210">
        <v>7</v>
      </c>
      <c r="C210" t="s">
        <v>278</v>
      </c>
      <c r="D210" t="s">
        <v>263</v>
      </c>
      <c r="E210" t="s">
        <v>37</v>
      </c>
      <c r="F210" t="s">
        <v>264</v>
      </c>
      <c r="G210" t="s">
        <v>40</v>
      </c>
      <c r="H210" t="s">
        <v>55</v>
      </c>
      <c r="I210" s="1">
        <v>2532.12</v>
      </c>
      <c r="J210" s="1">
        <v>80190.58</v>
      </c>
      <c r="K210" s="1">
        <v>69334.759999999995</v>
      </c>
    </row>
    <row r="211" spans="1:11" x14ac:dyDescent="0.25">
      <c r="A211">
        <v>2023</v>
      </c>
      <c r="B211">
        <v>7</v>
      </c>
      <c r="C211" t="s">
        <v>279</v>
      </c>
      <c r="D211" t="s">
        <v>263</v>
      </c>
      <c r="E211" t="s">
        <v>37</v>
      </c>
      <c r="F211" t="s">
        <v>264</v>
      </c>
      <c r="G211" t="s">
        <v>40</v>
      </c>
      <c r="H211" t="s">
        <v>16</v>
      </c>
      <c r="I211">
        <v>0</v>
      </c>
      <c r="J211">
        <v>0</v>
      </c>
      <c r="K211" s="1">
        <v>628669.25</v>
      </c>
    </row>
    <row r="212" spans="1:11" x14ac:dyDescent="0.25">
      <c r="A212">
        <v>2023</v>
      </c>
      <c r="B212">
        <v>7</v>
      </c>
      <c r="C212" t="s">
        <v>280</v>
      </c>
      <c r="D212" t="s">
        <v>263</v>
      </c>
      <c r="E212" t="s">
        <v>37</v>
      </c>
      <c r="F212" t="s">
        <v>264</v>
      </c>
      <c r="G212" t="s">
        <v>97</v>
      </c>
      <c r="H212" t="s">
        <v>16</v>
      </c>
      <c r="I212">
        <v>0</v>
      </c>
      <c r="J212" s="1">
        <v>349423.62</v>
      </c>
      <c r="K212" s="1">
        <v>508575.82</v>
      </c>
    </row>
    <row r="213" spans="1:11" x14ac:dyDescent="0.25">
      <c r="A213">
        <v>2023</v>
      </c>
      <c r="B213">
        <v>7</v>
      </c>
      <c r="C213" t="s">
        <v>281</v>
      </c>
      <c r="D213" t="s">
        <v>263</v>
      </c>
      <c r="E213" t="s">
        <v>37</v>
      </c>
      <c r="F213" t="s">
        <v>264</v>
      </c>
      <c r="G213" t="s">
        <v>97</v>
      </c>
      <c r="H213" t="s">
        <v>26</v>
      </c>
      <c r="I213" s="1">
        <v>42964.9</v>
      </c>
      <c r="J213">
        <v>0</v>
      </c>
      <c r="K213">
        <v>0</v>
      </c>
    </row>
    <row r="214" spans="1:11" x14ac:dyDescent="0.25">
      <c r="A214">
        <v>2023</v>
      </c>
      <c r="B214">
        <v>7</v>
      </c>
      <c r="C214" t="s">
        <v>282</v>
      </c>
      <c r="D214" t="s">
        <v>263</v>
      </c>
      <c r="E214" t="s">
        <v>37</v>
      </c>
      <c r="F214" t="s">
        <v>264</v>
      </c>
      <c r="G214" t="s">
        <v>42</v>
      </c>
      <c r="H214" t="s">
        <v>16</v>
      </c>
      <c r="I214" s="1">
        <v>115700</v>
      </c>
      <c r="J214" s="1">
        <v>20558.73</v>
      </c>
      <c r="K214" s="1">
        <v>20780.25</v>
      </c>
    </row>
    <row r="215" spans="1:11" x14ac:dyDescent="0.25">
      <c r="A215">
        <v>2023</v>
      </c>
      <c r="B215">
        <v>7</v>
      </c>
      <c r="C215" t="s">
        <v>283</v>
      </c>
      <c r="D215" t="s">
        <v>263</v>
      </c>
      <c r="E215" t="s">
        <v>37</v>
      </c>
      <c r="F215" t="s">
        <v>264</v>
      </c>
      <c r="G215" t="s">
        <v>42</v>
      </c>
      <c r="H215" t="s">
        <v>16</v>
      </c>
      <c r="I215">
        <v>0</v>
      </c>
      <c r="J215">
        <v>0</v>
      </c>
      <c r="K215" s="1">
        <v>29050</v>
      </c>
    </row>
    <row r="216" spans="1:11" x14ac:dyDescent="0.25">
      <c r="A216">
        <v>2023</v>
      </c>
      <c r="B216">
        <v>7</v>
      </c>
      <c r="C216" t="s">
        <v>284</v>
      </c>
      <c r="D216" t="s">
        <v>285</v>
      </c>
      <c r="E216" t="s">
        <v>286</v>
      </c>
      <c r="F216" t="s">
        <v>287</v>
      </c>
      <c r="G216" t="s">
        <v>15</v>
      </c>
      <c r="H216" t="s">
        <v>16</v>
      </c>
      <c r="I216" s="1">
        <v>837228.66</v>
      </c>
      <c r="J216" s="1">
        <v>837228.66</v>
      </c>
      <c r="K216" s="1">
        <v>837228.66</v>
      </c>
    </row>
    <row r="217" spans="1:11" x14ac:dyDescent="0.25">
      <c r="A217">
        <v>2023</v>
      </c>
      <c r="B217">
        <v>7</v>
      </c>
      <c r="C217" t="s">
        <v>288</v>
      </c>
      <c r="D217" t="s">
        <v>285</v>
      </c>
      <c r="E217" t="s">
        <v>286</v>
      </c>
      <c r="F217" t="s">
        <v>289</v>
      </c>
      <c r="G217" t="s">
        <v>81</v>
      </c>
      <c r="H217" t="s">
        <v>16</v>
      </c>
      <c r="I217" s="1">
        <v>-55656.26</v>
      </c>
      <c r="J217" s="1">
        <v>803506.79</v>
      </c>
      <c r="K217" s="1">
        <v>795213.26</v>
      </c>
    </row>
    <row r="218" spans="1:11" x14ac:dyDescent="0.25">
      <c r="A218">
        <v>2023</v>
      </c>
      <c r="B218">
        <v>7</v>
      </c>
      <c r="C218" t="s">
        <v>290</v>
      </c>
      <c r="D218" t="s">
        <v>285</v>
      </c>
      <c r="E218" t="s">
        <v>286</v>
      </c>
      <c r="F218" t="s">
        <v>289</v>
      </c>
      <c r="G218" t="s">
        <v>81</v>
      </c>
      <c r="H218" t="s">
        <v>55</v>
      </c>
      <c r="I218" s="1">
        <v>-80548.45</v>
      </c>
      <c r="J218">
        <v>0</v>
      </c>
      <c r="K218" s="1">
        <v>27215.279999999999</v>
      </c>
    </row>
    <row r="219" spans="1:11" x14ac:dyDescent="0.25">
      <c r="A219">
        <v>2023</v>
      </c>
      <c r="B219">
        <v>7</v>
      </c>
      <c r="C219" t="s">
        <v>291</v>
      </c>
      <c r="D219" t="s">
        <v>285</v>
      </c>
      <c r="E219" t="s">
        <v>286</v>
      </c>
      <c r="F219" t="s">
        <v>287</v>
      </c>
      <c r="G219" t="s">
        <v>81</v>
      </c>
      <c r="H219" t="s">
        <v>16</v>
      </c>
      <c r="I219" s="1">
        <v>3685335.95</v>
      </c>
      <c r="J219" s="1">
        <v>4996328.08</v>
      </c>
      <c r="K219" s="1">
        <v>4607217.68</v>
      </c>
    </row>
    <row r="220" spans="1:11" x14ac:dyDescent="0.25">
      <c r="A220">
        <v>2023</v>
      </c>
      <c r="B220">
        <v>7</v>
      </c>
      <c r="C220" t="s">
        <v>292</v>
      </c>
      <c r="D220" t="s">
        <v>285</v>
      </c>
      <c r="E220" t="s">
        <v>286</v>
      </c>
      <c r="F220" t="s">
        <v>287</v>
      </c>
      <c r="G220" t="s">
        <v>81</v>
      </c>
      <c r="H220" t="s">
        <v>52</v>
      </c>
      <c r="I220">
        <v>0</v>
      </c>
      <c r="J220" s="1">
        <v>226410.26</v>
      </c>
      <c r="K220" s="1">
        <v>226410.26</v>
      </c>
    </row>
    <row r="221" spans="1:11" x14ac:dyDescent="0.25">
      <c r="A221">
        <v>2023</v>
      </c>
      <c r="B221">
        <v>7</v>
      </c>
      <c r="C221" t="s">
        <v>293</v>
      </c>
      <c r="D221" t="s">
        <v>285</v>
      </c>
      <c r="E221" t="s">
        <v>286</v>
      </c>
      <c r="F221" t="s">
        <v>289</v>
      </c>
      <c r="G221" t="s">
        <v>24</v>
      </c>
      <c r="H221" t="s">
        <v>16</v>
      </c>
      <c r="I221">
        <v>0</v>
      </c>
      <c r="J221">
        <v>0</v>
      </c>
      <c r="K221">
        <v>374.75</v>
      </c>
    </row>
    <row r="222" spans="1:11" x14ac:dyDescent="0.25">
      <c r="A222">
        <v>2023</v>
      </c>
      <c r="B222">
        <v>7</v>
      </c>
      <c r="C222" t="s">
        <v>294</v>
      </c>
      <c r="D222" t="s">
        <v>285</v>
      </c>
      <c r="E222" t="s">
        <v>286</v>
      </c>
      <c r="F222" t="s">
        <v>287</v>
      </c>
      <c r="G222" t="s">
        <v>24</v>
      </c>
      <c r="H222" t="s">
        <v>16</v>
      </c>
      <c r="I222" s="1">
        <v>6671.8</v>
      </c>
      <c r="J222" s="1">
        <v>8836.2800000000007</v>
      </c>
      <c r="K222" s="1">
        <v>5509.4</v>
      </c>
    </row>
    <row r="223" spans="1:11" x14ac:dyDescent="0.25">
      <c r="A223">
        <v>2023</v>
      </c>
      <c r="B223">
        <v>7</v>
      </c>
      <c r="C223" t="s">
        <v>295</v>
      </c>
      <c r="D223" t="s">
        <v>285</v>
      </c>
      <c r="E223" t="s">
        <v>286</v>
      </c>
      <c r="F223" t="s">
        <v>287</v>
      </c>
      <c r="G223" t="s">
        <v>24</v>
      </c>
      <c r="H223" t="s">
        <v>16</v>
      </c>
      <c r="I223">
        <v>0</v>
      </c>
      <c r="J223" s="1">
        <v>19174.78</v>
      </c>
      <c r="K223" s="1">
        <v>33872.160000000003</v>
      </c>
    </row>
    <row r="224" spans="1:11" x14ac:dyDescent="0.25">
      <c r="A224">
        <v>2023</v>
      </c>
      <c r="B224">
        <v>7</v>
      </c>
      <c r="C224" t="s">
        <v>296</v>
      </c>
      <c r="D224" t="s">
        <v>285</v>
      </c>
      <c r="E224" t="s">
        <v>286</v>
      </c>
      <c r="F224" t="s">
        <v>287</v>
      </c>
      <c r="G224" t="s">
        <v>24</v>
      </c>
      <c r="H224" t="s">
        <v>102</v>
      </c>
      <c r="I224">
        <v>690</v>
      </c>
      <c r="J224" s="1">
        <v>4850</v>
      </c>
      <c r="K224" s="1">
        <v>4850</v>
      </c>
    </row>
    <row r="225" spans="1:11" x14ac:dyDescent="0.25">
      <c r="A225">
        <v>2023</v>
      </c>
      <c r="B225">
        <v>7</v>
      </c>
      <c r="C225" t="s">
        <v>297</v>
      </c>
      <c r="D225" t="s">
        <v>285</v>
      </c>
      <c r="E225" t="s">
        <v>286</v>
      </c>
      <c r="F225" t="s">
        <v>287</v>
      </c>
      <c r="G225" t="s">
        <v>298</v>
      </c>
      <c r="H225" t="s">
        <v>16</v>
      </c>
      <c r="I225" s="1">
        <v>-4000</v>
      </c>
      <c r="J225" s="1">
        <v>31000</v>
      </c>
      <c r="K225" s="1">
        <v>61451.199999999997</v>
      </c>
    </row>
    <row r="226" spans="1:11" x14ac:dyDescent="0.25">
      <c r="A226">
        <v>2023</v>
      </c>
      <c r="B226">
        <v>7</v>
      </c>
      <c r="C226" t="s">
        <v>299</v>
      </c>
      <c r="D226" t="s">
        <v>285</v>
      </c>
      <c r="E226" t="s">
        <v>286</v>
      </c>
      <c r="F226" t="s">
        <v>289</v>
      </c>
      <c r="G226" t="s">
        <v>28</v>
      </c>
      <c r="H226" t="s">
        <v>16</v>
      </c>
      <c r="I226" s="1">
        <v>137804.09</v>
      </c>
      <c r="J226" s="1">
        <v>137804.09</v>
      </c>
      <c r="K226" s="1">
        <v>139379</v>
      </c>
    </row>
    <row r="227" spans="1:11" x14ac:dyDescent="0.25">
      <c r="A227">
        <v>2023</v>
      </c>
      <c r="B227">
        <v>7</v>
      </c>
      <c r="C227" t="s">
        <v>300</v>
      </c>
      <c r="D227" t="s">
        <v>285</v>
      </c>
      <c r="E227" t="s">
        <v>286</v>
      </c>
      <c r="F227" t="s">
        <v>287</v>
      </c>
      <c r="G227" t="s">
        <v>28</v>
      </c>
      <c r="H227" t="s">
        <v>16</v>
      </c>
      <c r="I227" s="1">
        <v>12786.21</v>
      </c>
      <c r="J227" s="1">
        <v>12786.21</v>
      </c>
      <c r="K227" s="1">
        <v>12786.21</v>
      </c>
    </row>
    <row r="228" spans="1:11" x14ac:dyDescent="0.25">
      <c r="A228">
        <v>2023</v>
      </c>
      <c r="B228">
        <v>7</v>
      </c>
      <c r="C228" t="s">
        <v>301</v>
      </c>
      <c r="D228" t="s">
        <v>285</v>
      </c>
      <c r="E228" t="s">
        <v>286</v>
      </c>
      <c r="F228" t="s">
        <v>287</v>
      </c>
      <c r="G228" t="s">
        <v>28</v>
      </c>
      <c r="H228" t="s">
        <v>16</v>
      </c>
      <c r="I228" s="1">
        <v>6000</v>
      </c>
      <c r="J228" s="1">
        <v>9443.7000000000007</v>
      </c>
      <c r="K228" s="1">
        <v>9443.7000000000007</v>
      </c>
    </row>
    <row r="229" spans="1:11" x14ac:dyDescent="0.25">
      <c r="A229">
        <v>2023</v>
      </c>
      <c r="B229">
        <v>7</v>
      </c>
      <c r="C229" t="s">
        <v>302</v>
      </c>
      <c r="D229" t="s">
        <v>285</v>
      </c>
      <c r="E229" t="s">
        <v>286</v>
      </c>
      <c r="F229" t="s">
        <v>287</v>
      </c>
      <c r="G229" t="s">
        <v>28</v>
      </c>
      <c r="H229" t="s">
        <v>102</v>
      </c>
      <c r="I229" s="1">
        <v>60000</v>
      </c>
      <c r="J229" s="1">
        <v>68860.490000000005</v>
      </c>
      <c r="K229" s="1">
        <v>61860.49</v>
      </c>
    </row>
    <row r="230" spans="1:11" x14ac:dyDescent="0.25">
      <c r="A230">
        <v>2023</v>
      </c>
      <c r="B230">
        <v>7</v>
      </c>
      <c r="C230" t="s">
        <v>303</v>
      </c>
      <c r="D230" t="s">
        <v>285</v>
      </c>
      <c r="E230" t="s">
        <v>286</v>
      </c>
      <c r="F230" t="s">
        <v>289</v>
      </c>
      <c r="G230" t="s">
        <v>31</v>
      </c>
      <c r="H230" t="s">
        <v>16</v>
      </c>
      <c r="I230" s="1">
        <v>27560.82</v>
      </c>
      <c r="J230" s="1">
        <v>98039.35</v>
      </c>
      <c r="K230" s="1">
        <v>127556.17</v>
      </c>
    </row>
    <row r="231" spans="1:11" x14ac:dyDescent="0.25">
      <c r="A231">
        <v>2023</v>
      </c>
      <c r="B231">
        <v>7</v>
      </c>
      <c r="C231" t="s">
        <v>304</v>
      </c>
      <c r="D231" t="s">
        <v>285</v>
      </c>
      <c r="E231" t="s">
        <v>286</v>
      </c>
      <c r="F231" t="s">
        <v>289</v>
      </c>
      <c r="G231" t="s">
        <v>31</v>
      </c>
      <c r="H231" t="s">
        <v>55</v>
      </c>
      <c r="I231" s="1">
        <v>7000</v>
      </c>
      <c r="J231">
        <v>650</v>
      </c>
      <c r="K231" s="1">
        <v>1300</v>
      </c>
    </row>
    <row r="232" spans="1:11" x14ac:dyDescent="0.25">
      <c r="A232">
        <v>2023</v>
      </c>
      <c r="B232">
        <v>7</v>
      </c>
      <c r="C232" t="s">
        <v>305</v>
      </c>
      <c r="D232" t="s">
        <v>285</v>
      </c>
      <c r="E232" t="s">
        <v>286</v>
      </c>
      <c r="F232" t="s">
        <v>287</v>
      </c>
      <c r="G232" t="s">
        <v>31</v>
      </c>
      <c r="H232" t="s">
        <v>16</v>
      </c>
      <c r="I232" s="1">
        <v>49322.33</v>
      </c>
      <c r="J232" s="1">
        <v>151606.10999999999</v>
      </c>
      <c r="K232" s="1">
        <v>201506.82</v>
      </c>
    </row>
    <row r="233" spans="1:11" x14ac:dyDescent="0.25">
      <c r="A233">
        <v>2023</v>
      </c>
      <c r="B233">
        <v>7</v>
      </c>
      <c r="C233" t="s">
        <v>306</v>
      </c>
      <c r="D233" t="s">
        <v>285</v>
      </c>
      <c r="E233" t="s">
        <v>286</v>
      </c>
      <c r="F233" t="s">
        <v>287</v>
      </c>
      <c r="G233" t="s">
        <v>31</v>
      </c>
      <c r="H233" t="s">
        <v>16</v>
      </c>
      <c r="I233" s="1">
        <v>118079.24</v>
      </c>
      <c r="J233" s="1">
        <v>56711.99</v>
      </c>
      <c r="K233" s="1">
        <v>61620.49</v>
      </c>
    </row>
    <row r="234" spans="1:11" x14ac:dyDescent="0.25">
      <c r="A234">
        <v>2023</v>
      </c>
      <c r="B234">
        <v>7</v>
      </c>
      <c r="C234" t="s">
        <v>307</v>
      </c>
      <c r="D234" t="s">
        <v>285</v>
      </c>
      <c r="E234" t="s">
        <v>286</v>
      </c>
      <c r="F234" t="s">
        <v>287</v>
      </c>
      <c r="G234" t="s">
        <v>31</v>
      </c>
      <c r="H234" t="s">
        <v>102</v>
      </c>
      <c r="I234" s="1">
        <v>11500</v>
      </c>
      <c r="J234" s="1">
        <v>45819.839999999997</v>
      </c>
      <c r="K234" s="1">
        <v>171952.53</v>
      </c>
    </row>
    <row r="235" spans="1:11" x14ac:dyDescent="0.25">
      <c r="A235">
        <v>2023</v>
      </c>
      <c r="B235">
        <v>7</v>
      </c>
      <c r="C235" t="s">
        <v>308</v>
      </c>
      <c r="D235" t="s">
        <v>285</v>
      </c>
      <c r="E235" t="s">
        <v>286</v>
      </c>
      <c r="F235" t="s">
        <v>287</v>
      </c>
      <c r="G235" t="s">
        <v>31</v>
      </c>
      <c r="H235" t="s">
        <v>267</v>
      </c>
      <c r="I235">
        <v>0</v>
      </c>
      <c r="J235">
        <v>0</v>
      </c>
      <c r="K235" s="1">
        <v>17100.560000000001</v>
      </c>
    </row>
    <row r="236" spans="1:11" x14ac:dyDescent="0.25">
      <c r="A236">
        <v>2023</v>
      </c>
      <c r="B236">
        <v>7</v>
      </c>
      <c r="C236" t="s">
        <v>309</v>
      </c>
      <c r="D236" t="s">
        <v>285</v>
      </c>
      <c r="E236" t="s">
        <v>286</v>
      </c>
      <c r="F236" t="s">
        <v>287</v>
      </c>
      <c r="G236" t="s">
        <v>62</v>
      </c>
      <c r="H236" t="s">
        <v>16</v>
      </c>
      <c r="I236">
        <v>0</v>
      </c>
      <c r="J236">
        <v>0</v>
      </c>
      <c r="K236" s="1">
        <v>25920</v>
      </c>
    </row>
    <row r="237" spans="1:11" x14ac:dyDescent="0.25">
      <c r="A237">
        <v>2023</v>
      </c>
      <c r="B237">
        <v>7</v>
      </c>
      <c r="C237" t="s">
        <v>310</v>
      </c>
      <c r="D237" t="s">
        <v>285</v>
      </c>
      <c r="E237" t="s">
        <v>286</v>
      </c>
      <c r="F237" t="s">
        <v>289</v>
      </c>
      <c r="G237" t="s">
        <v>40</v>
      </c>
      <c r="H237" t="s">
        <v>16</v>
      </c>
      <c r="I237" s="1">
        <v>13900</v>
      </c>
      <c r="J237" s="1">
        <v>13900</v>
      </c>
      <c r="K237" s="1">
        <v>13900</v>
      </c>
    </row>
    <row r="238" spans="1:11" x14ac:dyDescent="0.25">
      <c r="A238">
        <v>2023</v>
      </c>
      <c r="B238">
        <v>7</v>
      </c>
      <c r="C238" t="s">
        <v>311</v>
      </c>
      <c r="D238" t="s">
        <v>285</v>
      </c>
      <c r="E238" t="s">
        <v>286</v>
      </c>
      <c r="F238" t="s">
        <v>287</v>
      </c>
      <c r="G238" t="s">
        <v>40</v>
      </c>
      <c r="H238" t="s">
        <v>16</v>
      </c>
      <c r="I238" s="1">
        <v>433000</v>
      </c>
      <c r="J238" s="1">
        <v>433000</v>
      </c>
      <c r="K238" s="1">
        <v>430900</v>
      </c>
    </row>
    <row r="239" spans="1:11" x14ac:dyDescent="0.25">
      <c r="A239">
        <v>2023</v>
      </c>
      <c r="B239">
        <v>7</v>
      </c>
      <c r="C239" t="s">
        <v>312</v>
      </c>
      <c r="D239" t="s">
        <v>285</v>
      </c>
      <c r="E239" t="s">
        <v>286</v>
      </c>
      <c r="F239" t="s">
        <v>287</v>
      </c>
      <c r="G239" t="s">
        <v>40</v>
      </c>
      <c r="H239" t="s">
        <v>267</v>
      </c>
      <c r="I239" s="1">
        <v>26300</v>
      </c>
      <c r="J239" s="1">
        <v>26300</v>
      </c>
      <c r="K239" s="1">
        <v>26300</v>
      </c>
    </row>
    <row r="240" spans="1:11" x14ac:dyDescent="0.25">
      <c r="A240">
        <v>2023</v>
      </c>
      <c r="B240">
        <v>7</v>
      </c>
      <c r="C240" t="s">
        <v>313</v>
      </c>
      <c r="D240" t="s">
        <v>285</v>
      </c>
      <c r="E240" t="s">
        <v>286</v>
      </c>
      <c r="F240" t="s">
        <v>287</v>
      </c>
      <c r="G240" t="s">
        <v>81</v>
      </c>
      <c r="H240" t="s">
        <v>55</v>
      </c>
      <c r="I240">
        <v>0</v>
      </c>
      <c r="J240">
        <v>0</v>
      </c>
      <c r="K240" s="1">
        <v>41858.33</v>
      </c>
    </row>
    <row r="241" spans="1:11" x14ac:dyDescent="0.25">
      <c r="A241">
        <v>2023</v>
      </c>
      <c r="B241">
        <v>7</v>
      </c>
      <c r="C241" t="s">
        <v>314</v>
      </c>
      <c r="D241" t="s">
        <v>285</v>
      </c>
      <c r="E241" t="s">
        <v>286</v>
      </c>
      <c r="F241" t="s">
        <v>287</v>
      </c>
      <c r="G241" t="s">
        <v>81</v>
      </c>
      <c r="H241" t="s">
        <v>48</v>
      </c>
      <c r="I241">
        <v>0</v>
      </c>
      <c r="J241">
        <v>0</v>
      </c>
      <c r="K241" s="1">
        <v>217080</v>
      </c>
    </row>
    <row r="242" spans="1:11" x14ac:dyDescent="0.25">
      <c r="A242">
        <v>2023</v>
      </c>
      <c r="B242">
        <v>7</v>
      </c>
      <c r="C242" t="s">
        <v>315</v>
      </c>
      <c r="D242" t="s">
        <v>285</v>
      </c>
      <c r="E242" t="s">
        <v>286</v>
      </c>
      <c r="F242" t="s">
        <v>289</v>
      </c>
      <c r="G242" t="s">
        <v>42</v>
      </c>
      <c r="H242" t="s">
        <v>16</v>
      </c>
      <c r="I242" s="1">
        <v>2994</v>
      </c>
      <c r="J242" s="1">
        <v>5400</v>
      </c>
      <c r="K242">
        <v>0</v>
      </c>
    </row>
    <row r="243" spans="1:11" x14ac:dyDescent="0.25">
      <c r="A243">
        <v>2023</v>
      </c>
      <c r="B243">
        <v>7</v>
      </c>
      <c r="C243" t="s">
        <v>316</v>
      </c>
      <c r="D243" t="s">
        <v>285</v>
      </c>
      <c r="E243" t="s">
        <v>286</v>
      </c>
      <c r="F243" t="s">
        <v>287</v>
      </c>
      <c r="G243" t="s">
        <v>42</v>
      </c>
      <c r="H243" t="s">
        <v>16</v>
      </c>
      <c r="I243" s="1">
        <v>2087.5</v>
      </c>
      <c r="J243" s="1">
        <v>58801.75</v>
      </c>
      <c r="K243">
        <v>644</v>
      </c>
    </row>
    <row r="244" spans="1:11" x14ac:dyDescent="0.25">
      <c r="A244">
        <v>2023</v>
      </c>
      <c r="B244">
        <v>7</v>
      </c>
      <c r="C244" t="s">
        <v>317</v>
      </c>
      <c r="D244" t="s">
        <v>285</v>
      </c>
      <c r="E244" t="s">
        <v>286</v>
      </c>
      <c r="F244" t="s">
        <v>287</v>
      </c>
      <c r="G244" t="s">
        <v>42</v>
      </c>
      <c r="H244" t="s">
        <v>102</v>
      </c>
      <c r="I244">
        <v>0</v>
      </c>
      <c r="J244">
        <v>970</v>
      </c>
      <c r="K244">
        <v>230</v>
      </c>
    </row>
    <row r="245" spans="1:11" x14ac:dyDescent="0.25">
      <c r="A245">
        <v>2023</v>
      </c>
      <c r="B245">
        <v>7</v>
      </c>
      <c r="C245" t="s">
        <v>318</v>
      </c>
      <c r="D245" t="s">
        <v>285</v>
      </c>
      <c r="E245" t="s">
        <v>286</v>
      </c>
      <c r="F245" t="s">
        <v>287</v>
      </c>
      <c r="G245" t="s">
        <v>42</v>
      </c>
      <c r="H245" t="s">
        <v>104</v>
      </c>
      <c r="I245">
        <v>0</v>
      </c>
      <c r="J245" s="1">
        <v>5795.96</v>
      </c>
      <c r="K245">
        <v>0</v>
      </c>
    </row>
    <row r="246" spans="1:11" x14ac:dyDescent="0.25">
      <c r="A246">
        <v>2023</v>
      </c>
      <c r="B246">
        <v>7</v>
      </c>
      <c r="C246" t="s">
        <v>319</v>
      </c>
      <c r="D246" t="s">
        <v>320</v>
      </c>
      <c r="E246" t="s">
        <v>13</v>
      </c>
      <c r="F246" t="s">
        <v>321</v>
      </c>
      <c r="G246" t="s">
        <v>15</v>
      </c>
      <c r="H246" t="s">
        <v>16</v>
      </c>
      <c r="I246" s="1">
        <v>1654960.27</v>
      </c>
      <c r="J246" s="1">
        <v>1654960.27</v>
      </c>
      <c r="K246" s="1">
        <v>1654960.27</v>
      </c>
    </row>
    <row r="247" spans="1:11" x14ac:dyDescent="0.25">
      <c r="A247">
        <v>2023</v>
      </c>
      <c r="B247">
        <v>7</v>
      </c>
      <c r="C247" t="s">
        <v>322</v>
      </c>
      <c r="D247" t="s">
        <v>320</v>
      </c>
      <c r="E247" t="s">
        <v>13</v>
      </c>
      <c r="F247" t="s">
        <v>321</v>
      </c>
      <c r="G247" t="s">
        <v>24</v>
      </c>
      <c r="H247" t="s">
        <v>16</v>
      </c>
      <c r="I247" s="1">
        <v>2000</v>
      </c>
      <c r="J247" s="1">
        <v>2000</v>
      </c>
      <c r="K247" s="1">
        <v>4000</v>
      </c>
    </row>
    <row r="248" spans="1:11" x14ac:dyDescent="0.25">
      <c r="A248">
        <v>2023</v>
      </c>
      <c r="B248">
        <v>7</v>
      </c>
      <c r="C248" t="s">
        <v>323</v>
      </c>
      <c r="D248" t="s">
        <v>320</v>
      </c>
      <c r="E248" t="s">
        <v>76</v>
      </c>
      <c r="F248" t="s">
        <v>107</v>
      </c>
      <c r="G248" t="s">
        <v>24</v>
      </c>
      <c r="H248" t="s">
        <v>48</v>
      </c>
      <c r="I248" s="1">
        <v>136998</v>
      </c>
      <c r="J248">
        <v>0</v>
      </c>
      <c r="K248">
        <v>0</v>
      </c>
    </row>
    <row r="249" spans="1:11" x14ac:dyDescent="0.25">
      <c r="A249">
        <v>2023</v>
      </c>
      <c r="B249">
        <v>7</v>
      </c>
      <c r="C249" t="s">
        <v>324</v>
      </c>
      <c r="D249" t="s">
        <v>320</v>
      </c>
      <c r="E249" t="s">
        <v>76</v>
      </c>
      <c r="F249" t="s">
        <v>321</v>
      </c>
      <c r="G249" t="s">
        <v>24</v>
      </c>
      <c r="H249" t="s">
        <v>16</v>
      </c>
      <c r="I249" s="1">
        <v>-3721434.08</v>
      </c>
      <c r="J249" s="1">
        <v>1159090.42</v>
      </c>
      <c r="K249" s="1">
        <v>938772.1</v>
      </c>
    </row>
    <row r="250" spans="1:11" x14ac:dyDescent="0.25">
      <c r="A250">
        <v>2023</v>
      </c>
      <c r="B250">
        <v>7</v>
      </c>
      <c r="C250" t="s">
        <v>325</v>
      </c>
      <c r="D250" t="s">
        <v>320</v>
      </c>
      <c r="E250" t="s">
        <v>76</v>
      </c>
      <c r="F250" t="s">
        <v>321</v>
      </c>
      <c r="G250" t="s">
        <v>28</v>
      </c>
      <c r="H250" t="s">
        <v>16</v>
      </c>
      <c r="I250" s="1">
        <v>9035.9500000000007</v>
      </c>
      <c r="J250" s="1">
        <v>9035.9500000000007</v>
      </c>
      <c r="K250" s="1">
        <v>9035.9500000000007</v>
      </c>
    </row>
    <row r="251" spans="1:11" x14ac:dyDescent="0.25">
      <c r="A251">
        <v>2023</v>
      </c>
      <c r="B251">
        <v>7</v>
      </c>
      <c r="C251" t="s">
        <v>326</v>
      </c>
      <c r="D251" t="s">
        <v>320</v>
      </c>
      <c r="E251" t="s">
        <v>13</v>
      </c>
      <c r="F251" t="s">
        <v>321</v>
      </c>
      <c r="G251" t="s">
        <v>31</v>
      </c>
      <c r="H251" t="s">
        <v>16</v>
      </c>
      <c r="I251">
        <v>195</v>
      </c>
      <c r="J251" s="1">
        <v>6098.63</v>
      </c>
      <c r="K251" s="1">
        <v>6598.63</v>
      </c>
    </row>
    <row r="252" spans="1:11" x14ac:dyDescent="0.25">
      <c r="A252">
        <v>2023</v>
      </c>
      <c r="B252">
        <v>7</v>
      </c>
      <c r="C252" t="s">
        <v>327</v>
      </c>
      <c r="D252" t="s">
        <v>320</v>
      </c>
      <c r="E252" t="s">
        <v>76</v>
      </c>
      <c r="F252" t="s">
        <v>107</v>
      </c>
      <c r="G252" t="s">
        <v>31</v>
      </c>
      <c r="H252" t="s">
        <v>55</v>
      </c>
      <c r="I252" s="1">
        <v>60411.85</v>
      </c>
      <c r="J252" s="1">
        <v>1740982.34</v>
      </c>
      <c r="K252" s="1">
        <v>1445244.92</v>
      </c>
    </row>
    <row r="253" spans="1:11" x14ac:dyDescent="0.25">
      <c r="A253">
        <v>2023</v>
      </c>
      <c r="B253">
        <v>7</v>
      </c>
      <c r="C253" t="s">
        <v>328</v>
      </c>
      <c r="D253" t="s">
        <v>320</v>
      </c>
      <c r="E253" t="s">
        <v>76</v>
      </c>
      <c r="F253" t="s">
        <v>321</v>
      </c>
      <c r="G253" t="s">
        <v>31</v>
      </c>
      <c r="H253" t="s">
        <v>16</v>
      </c>
      <c r="I253" s="1">
        <v>9727902.7300000004</v>
      </c>
      <c r="J253" s="1">
        <v>9642866.9199999999</v>
      </c>
      <c r="K253" s="1">
        <v>8885671.6699999999</v>
      </c>
    </row>
    <row r="254" spans="1:11" x14ac:dyDescent="0.25">
      <c r="A254">
        <v>2023</v>
      </c>
      <c r="B254">
        <v>7</v>
      </c>
      <c r="C254" t="s">
        <v>329</v>
      </c>
      <c r="D254" t="s">
        <v>320</v>
      </c>
      <c r="E254" t="s">
        <v>330</v>
      </c>
      <c r="F254" t="s">
        <v>331</v>
      </c>
      <c r="G254" t="s">
        <v>31</v>
      </c>
      <c r="H254" t="s">
        <v>16</v>
      </c>
      <c r="I254">
        <v>0</v>
      </c>
      <c r="J254" s="1">
        <v>9012274.6199999992</v>
      </c>
      <c r="K254" s="1">
        <v>5559364.4699999997</v>
      </c>
    </row>
    <row r="255" spans="1:11" x14ac:dyDescent="0.25">
      <c r="A255">
        <v>2023</v>
      </c>
      <c r="B255">
        <v>7</v>
      </c>
      <c r="C255" t="s">
        <v>332</v>
      </c>
      <c r="D255" t="s">
        <v>320</v>
      </c>
      <c r="E255" t="s">
        <v>76</v>
      </c>
      <c r="F255" t="s">
        <v>321</v>
      </c>
      <c r="G255" t="s">
        <v>101</v>
      </c>
      <c r="H255" t="s">
        <v>16</v>
      </c>
      <c r="I255" s="1">
        <v>22813.19</v>
      </c>
      <c r="J255" s="1">
        <v>22813.19</v>
      </c>
      <c r="K255" s="1">
        <v>2972.12</v>
      </c>
    </row>
    <row r="256" spans="1:11" x14ac:dyDescent="0.25">
      <c r="A256">
        <v>2023</v>
      </c>
      <c r="B256">
        <v>7</v>
      </c>
      <c r="C256" t="s">
        <v>333</v>
      </c>
      <c r="D256" t="s">
        <v>320</v>
      </c>
      <c r="E256" t="s">
        <v>76</v>
      </c>
      <c r="F256" t="s">
        <v>107</v>
      </c>
      <c r="G256" t="s">
        <v>97</v>
      </c>
      <c r="H256" t="s">
        <v>55</v>
      </c>
      <c r="I256">
        <v>0</v>
      </c>
      <c r="J256" s="1">
        <v>268529.39</v>
      </c>
      <c r="K256" s="1">
        <v>191009.68</v>
      </c>
    </row>
    <row r="257" spans="1:11" x14ac:dyDescent="0.25">
      <c r="A257">
        <v>2023</v>
      </c>
      <c r="B257">
        <v>7</v>
      </c>
      <c r="C257" t="s">
        <v>334</v>
      </c>
      <c r="D257" t="s">
        <v>320</v>
      </c>
      <c r="E257" t="s">
        <v>13</v>
      </c>
      <c r="F257" t="s">
        <v>321</v>
      </c>
      <c r="G257" t="s">
        <v>42</v>
      </c>
      <c r="H257" t="s">
        <v>16</v>
      </c>
      <c r="I257" s="1">
        <v>4000</v>
      </c>
      <c r="J257" s="1">
        <v>1100</v>
      </c>
      <c r="K257">
        <v>0</v>
      </c>
    </row>
    <row r="258" spans="1:11" x14ac:dyDescent="0.25">
      <c r="A258">
        <v>2023</v>
      </c>
      <c r="B258">
        <v>7</v>
      </c>
      <c r="C258" t="s">
        <v>335</v>
      </c>
      <c r="D258" t="s">
        <v>336</v>
      </c>
      <c r="E258" t="s">
        <v>337</v>
      </c>
      <c r="F258" t="s">
        <v>338</v>
      </c>
      <c r="G258" t="s">
        <v>15</v>
      </c>
      <c r="H258" t="s">
        <v>16</v>
      </c>
      <c r="I258" s="1">
        <v>13599737.07</v>
      </c>
      <c r="J258" s="1">
        <v>13599737.07</v>
      </c>
      <c r="K258" s="1">
        <v>13674363.43</v>
      </c>
    </row>
    <row r="259" spans="1:11" x14ac:dyDescent="0.25">
      <c r="A259">
        <v>2023</v>
      </c>
      <c r="B259">
        <v>7</v>
      </c>
      <c r="C259" t="s">
        <v>339</v>
      </c>
      <c r="D259" t="s">
        <v>336</v>
      </c>
      <c r="E259" t="s">
        <v>337</v>
      </c>
      <c r="F259" t="s">
        <v>338</v>
      </c>
      <c r="G259" t="s">
        <v>133</v>
      </c>
      <c r="H259" t="s">
        <v>16</v>
      </c>
      <c r="I259" s="1">
        <v>495825.2</v>
      </c>
      <c r="J259" s="1">
        <v>495825.2</v>
      </c>
      <c r="K259" s="1">
        <v>495825.2</v>
      </c>
    </row>
    <row r="260" spans="1:11" x14ac:dyDescent="0.25">
      <c r="A260">
        <v>2023</v>
      </c>
      <c r="B260">
        <v>7</v>
      </c>
      <c r="C260" t="s">
        <v>340</v>
      </c>
      <c r="D260" t="s">
        <v>336</v>
      </c>
      <c r="E260" t="s">
        <v>337</v>
      </c>
      <c r="F260" t="s">
        <v>338</v>
      </c>
      <c r="G260" t="s">
        <v>137</v>
      </c>
      <c r="H260" t="s">
        <v>16</v>
      </c>
      <c r="I260" s="1">
        <v>586371.81000000006</v>
      </c>
      <c r="J260" s="1">
        <v>586371.81000000006</v>
      </c>
      <c r="K260" s="1">
        <v>586371.81000000006</v>
      </c>
    </row>
    <row r="261" spans="1:11" x14ac:dyDescent="0.25">
      <c r="A261">
        <v>2023</v>
      </c>
      <c r="B261">
        <v>7</v>
      </c>
      <c r="C261" t="s">
        <v>341</v>
      </c>
      <c r="D261" t="s">
        <v>336</v>
      </c>
      <c r="E261" t="s">
        <v>337</v>
      </c>
      <c r="F261" t="s">
        <v>338</v>
      </c>
      <c r="G261" t="s">
        <v>248</v>
      </c>
      <c r="H261" t="s">
        <v>16</v>
      </c>
      <c r="I261" s="1">
        <v>409977.64</v>
      </c>
      <c r="J261" s="1">
        <v>409977.64</v>
      </c>
      <c r="K261" s="1">
        <v>431819.62</v>
      </c>
    </row>
    <row r="262" spans="1:11" x14ac:dyDescent="0.25">
      <c r="A262">
        <v>2023</v>
      </c>
      <c r="B262">
        <v>7</v>
      </c>
      <c r="C262" t="s">
        <v>342</v>
      </c>
      <c r="D262" t="s">
        <v>336</v>
      </c>
      <c r="E262" t="s">
        <v>337</v>
      </c>
      <c r="F262" t="s">
        <v>338</v>
      </c>
      <c r="G262" t="s">
        <v>343</v>
      </c>
      <c r="H262" t="s">
        <v>16</v>
      </c>
      <c r="I262" s="1">
        <v>110355.18</v>
      </c>
      <c r="J262" s="1">
        <v>110355.18</v>
      </c>
      <c r="K262" s="1">
        <v>110355.18</v>
      </c>
    </row>
    <row r="263" spans="1:11" x14ac:dyDescent="0.25">
      <c r="A263">
        <v>2023</v>
      </c>
      <c r="B263">
        <v>7</v>
      </c>
      <c r="C263" t="s">
        <v>344</v>
      </c>
      <c r="D263" t="s">
        <v>336</v>
      </c>
      <c r="E263" t="s">
        <v>337</v>
      </c>
      <c r="F263" t="s">
        <v>338</v>
      </c>
      <c r="G263" t="s">
        <v>133</v>
      </c>
      <c r="H263" t="s">
        <v>16</v>
      </c>
      <c r="I263" s="1">
        <v>2855575.12</v>
      </c>
      <c r="J263" s="1">
        <v>2855575.12</v>
      </c>
      <c r="K263" s="1">
        <v>2855575.12</v>
      </c>
    </row>
    <row r="264" spans="1:11" x14ac:dyDescent="0.25">
      <c r="A264">
        <v>2023</v>
      </c>
      <c r="B264">
        <v>7</v>
      </c>
      <c r="C264" t="s">
        <v>345</v>
      </c>
      <c r="D264" t="s">
        <v>336</v>
      </c>
      <c r="E264" t="s">
        <v>337</v>
      </c>
      <c r="F264" t="s">
        <v>338</v>
      </c>
      <c r="G264" t="s">
        <v>148</v>
      </c>
      <c r="H264" t="s">
        <v>16</v>
      </c>
      <c r="I264" s="1">
        <v>43913.33</v>
      </c>
      <c r="J264" s="1">
        <v>43913.33</v>
      </c>
      <c r="K264" s="1">
        <v>43913.33</v>
      </c>
    </row>
    <row r="265" spans="1:11" x14ac:dyDescent="0.25">
      <c r="A265">
        <v>2023</v>
      </c>
      <c r="B265">
        <v>7</v>
      </c>
      <c r="C265" t="s">
        <v>346</v>
      </c>
      <c r="D265" t="s">
        <v>336</v>
      </c>
      <c r="E265" t="s">
        <v>337</v>
      </c>
      <c r="F265" t="s">
        <v>338</v>
      </c>
      <c r="G265" t="s">
        <v>22</v>
      </c>
      <c r="H265" t="s">
        <v>16</v>
      </c>
      <c r="I265">
        <v>0</v>
      </c>
      <c r="J265">
        <v>0</v>
      </c>
      <c r="K265" s="1">
        <v>3000</v>
      </c>
    </row>
    <row r="266" spans="1:11" x14ac:dyDescent="0.25">
      <c r="A266">
        <v>2023</v>
      </c>
      <c r="B266">
        <v>7</v>
      </c>
      <c r="C266" t="s">
        <v>347</v>
      </c>
      <c r="D266" t="s">
        <v>336</v>
      </c>
      <c r="E266" t="s">
        <v>337</v>
      </c>
      <c r="F266" t="s">
        <v>338</v>
      </c>
      <c r="G266" t="s">
        <v>24</v>
      </c>
      <c r="H266" t="s">
        <v>16</v>
      </c>
      <c r="I266" s="1">
        <v>-12316.5</v>
      </c>
      <c r="J266" s="1">
        <v>57412.65</v>
      </c>
      <c r="K266" s="1">
        <v>67861.66</v>
      </c>
    </row>
    <row r="267" spans="1:11" x14ac:dyDescent="0.25">
      <c r="A267">
        <v>2023</v>
      </c>
      <c r="B267">
        <v>7</v>
      </c>
      <c r="C267" t="s">
        <v>348</v>
      </c>
      <c r="D267" t="s">
        <v>336</v>
      </c>
      <c r="E267" t="s">
        <v>337</v>
      </c>
      <c r="F267" t="s">
        <v>338</v>
      </c>
      <c r="G267" t="s">
        <v>28</v>
      </c>
      <c r="H267" t="s">
        <v>16</v>
      </c>
      <c r="I267" s="1">
        <v>44238.75</v>
      </c>
      <c r="J267" s="1">
        <v>62143.07</v>
      </c>
      <c r="K267" s="1">
        <v>62676.97</v>
      </c>
    </row>
    <row r="268" spans="1:11" x14ac:dyDescent="0.25">
      <c r="A268">
        <v>2023</v>
      </c>
      <c r="B268">
        <v>7</v>
      </c>
      <c r="C268" t="s">
        <v>349</v>
      </c>
      <c r="D268" t="s">
        <v>336</v>
      </c>
      <c r="E268" t="s">
        <v>337</v>
      </c>
      <c r="F268" t="s">
        <v>338</v>
      </c>
      <c r="G268" t="s">
        <v>28</v>
      </c>
      <c r="H268" t="s">
        <v>16</v>
      </c>
      <c r="I268">
        <v>0</v>
      </c>
      <c r="J268" s="1">
        <v>9878.67</v>
      </c>
      <c r="K268" s="1">
        <v>9878.67</v>
      </c>
    </row>
    <row r="269" spans="1:11" x14ac:dyDescent="0.25">
      <c r="A269">
        <v>2023</v>
      </c>
      <c r="B269">
        <v>7</v>
      </c>
      <c r="C269" t="s">
        <v>350</v>
      </c>
      <c r="D269" t="s">
        <v>336</v>
      </c>
      <c r="E269" t="s">
        <v>337</v>
      </c>
      <c r="F269" t="s">
        <v>338</v>
      </c>
      <c r="G269" t="s">
        <v>187</v>
      </c>
      <c r="H269" t="s">
        <v>16</v>
      </c>
      <c r="I269" s="1">
        <v>121117.39</v>
      </c>
      <c r="J269" s="1">
        <v>599106.23</v>
      </c>
      <c r="K269" s="1">
        <v>1000757.83</v>
      </c>
    </row>
    <row r="270" spans="1:11" x14ac:dyDescent="0.25">
      <c r="A270">
        <v>2023</v>
      </c>
      <c r="B270">
        <v>7</v>
      </c>
      <c r="C270" t="s">
        <v>351</v>
      </c>
      <c r="D270" t="s">
        <v>336</v>
      </c>
      <c r="E270" t="s">
        <v>337</v>
      </c>
      <c r="F270" t="s">
        <v>338</v>
      </c>
      <c r="G270" t="s">
        <v>31</v>
      </c>
      <c r="H270" t="s">
        <v>16</v>
      </c>
      <c r="I270" s="1">
        <v>506000.19</v>
      </c>
      <c r="J270" s="1">
        <v>555456.04</v>
      </c>
      <c r="K270" s="1">
        <v>469503.41</v>
      </c>
    </row>
    <row r="271" spans="1:11" x14ac:dyDescent="0.25">
      <c r="A271">
        <v>2023</v>
      </c>
      <c r="B271">
        <v>7</v>
      </c>
      <c r="C271" t="s">
        <v>352</v>
      </c>
      <c r="D271" t="s">
        <v>336</v>
      </c>
      <c r="E271" t="s">
        <v>337</v>
      </c>
      <c r="F271" t="s">
        <v>338</v>
      </c>
      <c r="G271" t="s">
        <v>31</v>
      </c>
      <c r="H271" t="s">
        <v>26</v>
      </c>
      <c r="I271" s="1">
        <v>37948.400000000001</v>
      </c>
      <c r="J271" s="1">
        <v>459043.2</v>
      </c>
      <c r="K271" s="1">
        <v>1800</v>
      </c>
    </row>
    <row r="272" spans="1:11" x14ac:dyDescent="0.25">
      <c r="A272">
        <v>2023</v>
      </c>
      <c r="B272">
        <v>7</v>
      </c>
      <c r="C272" t="s">
        <v>353</v>
      </c>
      <c r="D272" t="s">
        <v>336</v>
      </c>
      <c r="E272" t="s">
        <v>337</v>
      </c>
      <c r="F272" t="s">
        <v>338</v>
      </c>
      <c r="G272" t="s">
        <v>31</v>
      </c>
      <c r="H272" t="s">
        <v>16</v>
      </c>
      <c r="I272" s="1">
        <v>-268003.37</v>
      </c>
      <c r="J272" s="1">
        <v>350428.22</v>
      </c>
      <c r="K272" s="1">
        <v>346533.7</v>
      </c>
    </row>
    <row r="273" spans="1:11" x14ac:dyDescent="0.25">
      <c r="A273">
        <v>2023</v>
      </c>
      <c r="B273">
        <v>7</v>
      </c>
      <c r="C273" t="s">
        <v>354</v>
      </c>
      <c r="D273" t="s">
        <v>336</v>
      </c>
      <c r="E273" t="s">
        <v>337</v>
      </c>
      <c r="F273" t="s">
        <v>338</v>
      </c>
      <c r="G273" t="s">
        <v>31</v>
      </c>
      <c r="H273" t="s">
        <v>16</v>
      </c>
      <c r="I273" s="1">
        <v>-48329</v>
      </c>
      <c r="J273" s="1">
        <v>80875.98</v>
      </c>
      <c r="K273" s="1">
        <v>77540.98</v>
      </c>
    </row>
    <row r="274" spans="1:11" x14ac:dyDescent="0.25">
      <c r="A274">
        <v>2023</v>
      </c>
      <c r="B274">
        <v>7</v>
      </c>
      <c r="C274" t="s">
        <v>355</v>
      </c>
      <c r="D274" t="s">
        <v>336</v>
      </c>
      <c r="E274" t="s">
        <v>337</v>
      </c>
      <c r="F274" t="s">
        <v>338</v>
      </c>
      <c r="G274" t="s">
        <v>31</v>
      </c>
      <c r="H274" t="s">
        <v>16</v>
      </c>
      <c r="I274">
        <v>0</v>
      </c>
      <c r="J274">
        <v>0</v>
      </c>
      <c r="K274" s="1">
        <v>16392</v>
      </c>
    </row>
    <row r="275" spans="1:11" x14ac:dyDescent="0.25">
      <c r="A275">
        <v>2023</v>
      </c>
      <c r="B275">
        <v>7</v>
      </c>
      <c r="C275" t="s">
        <v>356</v>
      </c>
      <c r="D275" t="s">
        <v>336</v>
      </c>
      <c r="E275" t="s">
        <v>337</v>
      </c>
      <c r="F275" t="s">
        <v>338</v>
      </c>
      <c r="G275" t="s">
        <v>211</v>
      </c>
      <c r="H275" t="s">
        <v>16</v>
      </c>
      <c r="I275" s="1">
        <v>621629.69999999995</v>
      </c>
      <c r="J275" s="1">
        <v>621629.69999999995</v>
      </c>
      <c r="K275" s="1">
        <v>621629.69999999995</v>
      </c>
    </row>
    <row r="276" spans="1:11" x14ac:dyDescent="0.25">
      <c r="A276">
        <v>2023</v>
      </c>
      <c r="B276">
        <v>7</v>
      </c>
      <c r="C276" t="s">
        <v>357</v>
      </c>
      <c r="D276" t="s">
        <v>336</v>
      </c>
      <c r="E276" t="s">
        <v>337</v>
      </c>
      <c r="F276" t="s">
        <v>14</v>
      </c>
      <c r="G276" t="s">
        <v>97</v>
      </c>
      <c r="H276" t="s">
        <v>358</v>
      </c>
      <c r="I276">
        <v>0</v>
      </c>
      <c r="J276" s="1">
        <v>281627.08</v>
      </c>
      <c r="K276" s="1">
        <v>207206.35</v>
      </c>
    </row>
    <row r="277" spans="1:11" x14ac:dyDescent="0.25">
      <c r="A277">
        <v>2023</v>
      </c>
      <c r="B277">
        <v>7</v>
      </c>
      <c r="C277" t="s">
        <v>359</v>
      </c>
      <c r="D277" t="s">
        <v>336</v>
      </c>
      <c r="E277" t="s">
        <v>337</v>
      </c>
      <c r="F277" t="s">
        <v>14</v>
      </c>
      <c r="G277" t="s">
        <v>97</v>
      </c>
      <c r="H277" t="s">
        <v>360</v>
      </c>
      <c r="I277" s="1">
        <v>-2000000</v>
      </c>
      <c r="J277" s="1">
        <v>44692.27</v>
      </c>
      <c r="K277" s="1">
        <v>44692.27</v>
      </c>
    </row>
    <row r="278" spans="1:11" x14ac:dyDescent="0.25">
      <c r="A278">
        <v>2023</v>
      </c>
      <c r="B278">
        <v>7</v>
      </c>
      <c r="C278" t="s">
        <v>361</v>
      </c>
      <c r="D278" t="s">
        <v>336</v>
      </c>
      <c r="E278" t="s">
        <v>337</v>
      </c>
      <c r="F278" t="s">
        <v>14</v>
      </c>
      <c r="G278" t="s">
        <v>42</v>
      </c>
      <c r="H278" t="s">
        <v>358</v>
      </c>
      <c r="I278" s="1">
        <v>114513.35</v>
      </c>
      <c r="J278" s="1">
        <v>171995.77</v>
      </c>
      <c r="K278" s="1">
        <v>177292.25</v>
      </c>
    </row>
    <row r="279" spans="1:11" x14ac:dyDescent="0.25">
      <c r="A279">
        <v>2023</v>
      </c>
      <c r="B279">
        <v>7</v>
      </c>
      <c r="C279" t="s">
        <v>362</v>
      </c>
      <c r="D279" t="s">
        <v>336</v>
      </c>
      <c r="E279" t="s">
        <v>337</v>
      </c>
      <c r="F279" t="s">
        <v>338</v>
      </c>
      <c r="G279" t="s">
        <v>42</v>
      </c>
      <c r="H279" t="s">
        <v>102</v>
      </c>
      <c r="I279">
        <v>601</v>
      </c>
      <c r="J279">
        <v>601</v>
      </c>
      <c r="K279">
        <v>0</v>
      </c>
    </row>
    <row r="280" spans="1:11" x14ac:dyDescent="0.25">
      <c r="A280">
        <v>2023</v>
      </c>
      <c r="B280">
        <v>7</v>
      </c>
      <c r="C280" t="s">
        <v>363</v>
      </c>
      <c r="D280" t="s">
        <v>336</v>
      </c>
      <c r="E280" t="s">
        <v>337</v>
      </c>
      <c r="F280" t="s">
        <v>364</v>
      </c>
      <c r="G280" t="s">
        <v>81</v>
      </c>
      <c r="H280" t="s">
        <v>16</v>
      </c>
      <c r="I280" s="1">
        <v>2027033.66</v>
      </c>
      <c r="J280" s="1">
        <v>14490190.470000001</v>
      </c>
      <c r="K280" s="1">
        <v>14490190.470000001</v>
      </c>
    </row>
    <row r="281" spans="1:11" x14ac:dyDescent="0.25">
      <c r="A281">
        <v>2023</v>
      </c>
      <c r="B281">
        <v>7</v>
      </c>
      <c r="C281" t="s">
        <v>365</v>
      </c>
      <c r="D281" t="s">
        <v>336</v>
      </c>
      <c r="E281" t="s">
        <v>337</v>
      </c>
      <c r="F281" t="s">
        <v>364</v>
      </c>
      <c r="G281" t="s">
        <v>81</v>
      </c>
      <c r="H281" t="s">
        <v>16</v>
      </c>
      <c r="I281">
        <v>0</v>
      </c>
      <c r="J281" s="1">
        <v>1774542</v>
      </c>
      <c r="K281" s="1">
        <v>1774542</v>
      </c>
    </row>
    <row r="282" spans="1:11" x14ac:dyDescent="0.25">
      <c r="A282">
        <v>2023</v>
      </c>
      <c r="B282">
        <v>7</v>
      </c>
      <c r="C282" t="s">
        <v>366</v>
      </c>
      <c r="D282" t="s">
        <v>336</v>
      </c>
      <c r="E282" t="s">
        <v>337</v>
      </c>
      <c r="F282" t="s">
        <v>364</v>
      </c>
      <c r="G282" t="s">
        <v>81</v>
      </c>
      <c r="H282" t="s">
        <v>52</v>
      </c>
      <c r="I282">
        <v>0</v>
      </c>
      <c r="J282" s="1">
        <v>795156.96</v>
      </c>
      <c r="K282" s="1">
        <v>901495.74</v>
      </c>
    </row>
    <row r="283" spans="1:11" x14ac:dyDescent="0.25">
      <c r="A283">
        <v>2023</v>
      </c>
      <c r="B283">
        <v>7</v>
      </c>
      <c r="C283" t="s">
        <v>367</v>
      </c>
      <c r="D283" t="s">
        <v>336</v>
      </c>
      <c r="E283" t="s">
        <v>337</v>
      </c>
      <c r="F283" t="s">
        <v>364</v>
      </c>
      <c r="G283" t="s">
        <v>81</v>
      </c>
      <c r="H283" t="s">
        <v>102</v>
      </c>
      <c r="I283">
        <v>0</v>
      </c>
      <c r="J283" s="1">
        <v>4493417</v>
      </c>
      <c r="K283" s="1">
        <v>4493417</v>
      </c>
    </row>
    <row r="284" spans="1:11" x14ac:dyDescent="0.25">
      <c r="A284">
        <v>2023</v>
      </c>
      <c r="B284">
        <v>7</v>
      </c>
      <c r="C284" t="s">
        <v>368</v>
      </c>
      <c r="D284" t="s">
        <v>336</v>
      </c>
      <c r="E284" t="s">
        <v>337</v>
      </c>
      <c r="F284" t="s">
        <v>364</v>
      </c>
      <c r="G284" t="s">
        <v>81</v>
      </c>
      <c r="H284" t="s">
        <v>267</v>
      </c>
      <c r="I284">
        <v>0</v>
      </c>
      <c r="J284" s="1">
        <v>350000</v>
      </c>
      <c r="K284" s="1">
        <v>243661.22</v>
      </c>
    </row>
    <row r="285" spans="1:11" x14ac:dyDescent="0.25">
      <c r="A285">
        <v>2023</v>
      </c>
      <c r="B285">
        <v>7</v>
      </c>
      <c r="C285" t="s">
        <v>369</v>
      </c>
      <c r="D285" t="s">
        <v>336</v>
      </c>
      <c r="E285" t="s">
        <v>337</v>
      </c>
      <c r="F285" t="s">
        <v>364</v>
      </c>
      <c r="G285" t="s">
        <v>83</v>
      </c>
      <c r="H285" t="s">
        <v>16</v>
      </c>
      <c r="I285">
        <v>0</v>
      </c>
      <c r="J285">
        <v>0</v>
      </c>
      <c r="K285" s="1">
        <v>958896</v>
      </c>
    </row>
    <row r="286" spans="1:11" x14ac:dyDescent="0.25">
      <c r="A286">
        <v>2023</v>
      </c>
      <c r="B286">
        <v>7</v>
      </c>
      <c r="C286" t="s">
        <v>370</v>
      </c>
      <c r="D286" t="s">
        <v>336</v>
      </c>
      <c r="E286" t="s">
        <v>337</v>
      </c>
      <c r="F286" t="s">
        <v>364</v>
      </c>
      <c r="G286" t="s">
        <v>83</v>
      </c>
      <c r="H286" t="s">
        <v>102</v>
      </c>
      <c r="I286">
        <v>0</v>
      </c>
      <c r="J286">
        <v>0</v>
      </c>
      <c r="K286" s="1">
        <v>362099</v>
      </c>
    </row>
    <row r="287" spans="1:11" x14ac:dyDescent="0.25">
      <c r="A287">
        <v>2023</v>
      </c>
      <c r="B287">
        <v>7</v>
      </c>
      <c r="C287" t="s">
        <v>371</v>
      </c>
      <c r="D287" t="s">
        <v>336</v>
      </c>
      <c r="E287" t="s">
        <v>337</v>
      </c>
      <c r="F287" t="s">
        <v>338</v>
      </c>
      <c r="G287" t="s">
        <v>128</v>
      </c>
      <c r="H287" t="s">
        <v>102</v>
      </c>
      <c r="I287" s="1">
        <v>743017.28</v>
      </c>
      <c r="J287" s="1">
        <v>743017.28</v>
      </c>
      <c r="K287" s="1">
        <v>773790.66</v>
      </c>
    </row>
    <row r="288" spans="1:11" x14ac:dyDescent="0.25">
      <c r="A288">
        <v>2023</v>
      </c>
      <c r="B288">
        <v>7</v>
      </c>
      <c r="C288" t="s">
        <v>372</v>
      </c>
      <c r="D288" t="s">
        <v>336</v>
      </c>
      <c r="E288" t="s">
        <v>337</v>
      </c>
      <c r="F288" t="s">
        <v>373</v>
      </c>
      <c r="G288" t="s">
        <v>128</v>
      </c>
      <c r="H288" t="s">
        <v>102</v>
      </c>
      <c r="I288" s="1">
        <v>682124.51</v>
      </c>
      <c r="J288" s="1">
        <v>682124.51</v>
      </c>
      <c r="K288" s="1">
        <v>703139.38</v>
      </c>
    </row>
    <row r="289" spans="1:11" x14ac:dyDescent="0.25">
      <c r="A289">
        <v>2023</v>
      </c>
      <c r="B289">
        <v>7</v>
      </c>
      <c r="C289" t="s">
        <v>374</v>
      </c>
      <c r="D289" t="s">
        <v>336</v>
      </c>
      <c r="E289" t="s">
        <v>337</v>
      </c>
      <c r="F289" t="s">
        <v>338</v>
      </c>
      <c r="G289" t="s">
        <v>81</v>
      </c>
      <c r="H289" t="s">
        <v>16</v>
      </c>
      <c r="I289">
        <v>0</v>
      </c>
      <c r="J289" s="1">
        <v>2931360.76</v>
      </c>
      <c r="K289" s="1">
        <v>2931360.76</v>
      </c>
    </row>
    <row r="290" spans="1:11" x14ac:dyDescent="0.25">
      <c r="A290">
        <v>2023</v>
      </c>
      <c r="B290">
        <v>7</v>
      </c>
      <c r="C290" t="s">
        <v>375</v>
      </c>
      <c r="D290" t="s">
        <v>336</v>
      </c>
      <c r="E290" t="s">
        <v>13</v>
      </c>
      <c r="F290" t="s">
        <v>376</v>
      </c>
      <c r="G290" t="s">
        <v>24</v>
      </c>
      <c r="H290" t="s">
        <v>16</v>
      </c>
      <c r="I290" s="1">
        <v>65593.759999999995</v>
      </c>
      <c r="J290" s="1">
        <v>45187.44</v>
      </c>
      <c r="K290" s="1">
        <v>9347.65</v>
      </c>
    </row>
    <row r="291" spans="1:11" x14ac:dyDescent="0.25">
      <c r="A291">
        <v>2023</v>
      </c>
      <c r="B291">
        <v>7</v>
      </c>
      <c r="C291" t="s">
        <v>377</v>
      </c>
      <c r="D291" t="s">
        <v>336</v>
      </c>
      <c r="E291" t="s">
        <v>337</v>
      </c>
      <c r="F291" t="s">
        <v>338</v>
      </c>
      <c r="G291" t="s">
        <v>24</v>
      </c>
      <c r="H291" t="s">
        <v>16</v>
      </c>
      <c r="I291" s="1">
        <v>22358.52</v>
      </c>
      <c r="J291" s="1">
        <v>152693.72</v>
      </c>
      <c r="K291" s="1">
        <v>267927.99</v>
      </c>
    </row>
    <row r="292" spans="1:11" x14ac:dyDescent="0.25">
      <c r="A292">
        <v>2023</v>
      </c>
      <c r="B292">
        <v>7</v>
      </c>
      <c r="C292" t="s">
        <v>378</v>
      </c>
      <c r="D292" t="s">
        <v>336</v>
      </c>
      <c r="E292" t="s">
        <v>337</v>
      </c>
      <c r="F292" t="s">
        <v>338</v>
      </c>
      <c r="G292" t="s">
        <v>24</v>
      </c>
      <c r="H292" t="s">
        <v>52</v>
      </c>
      <c r="I292" s="1">
        <v>1416853.64</v>
      </c>
      <c r="J292" s="1">
        <v>1797612.68</v>
      </c>
      <c r="K292" s="1">
        <v>96957.62</v>
      </c>
    </row>
    <row r="293" spans="1:11" x14ac:dyDescent="0.25">
      <c r="A293">
        <v>2023</v>
      </c>
      <c r="B293">
        <v>7</v>
      </c>
      <c r="C293" t="s">
        <v>379</v>
      </c>
      <c r="D293" t="s">
        <v>336</v>
      </c>
      <c r="E293" t="s">
        <v>337</v>
      </c>
      <c r="F293" t="s">
        <v>338</v>
      </c>
      <c r="G293" t="s">
        <v>24</v>
      </c>
      <c r="H293" t="s">
        <v>102</v>
      </c>
      <c r="I293" s="1">
        <v>123760.54</v>
      </c>
      <c r="J293" s="1">
        <v>331321.31</v>
      </c>
      <c r="K293" s="1">
        <v>552210.89</v>
      </c>
    </row>
    <row r="294" spans="1:11" x14ac:dyDescent="0.25">
      <c r="A294">
        <v>2023</v>
      </c>
      <c r="B294">
        <v>7</v>
      </c>
      <c r="C294" t="s">
        <v>380</v>
      </c>
      <c r="D294" t="s">
        <v>336</v>
      </c>
      <c r="E294" t="s">
        <v>337</v>
      </c>
      <c r="F294" t="s">
        <v>338</v>
      </c>
      <c r="G294" t="s">
        <v>24</v>
      </c>
      <c r="H294" t="s">
        <v>267</v>
      </c>
      <c r="I294">
        <v>-187.3</v>
      </c>
      <c r="J294" s="1">
        <v>331254.88</v>
      </c>
      <c r="K294" s="1">
        <v>1381220.36</v>
      </c>
    </row>
    <row r="295" spans="1:11" x14ac:dyDescent="0.25">
      <c r="A295">
        <v>2023</v>
      </c>
      <c r="B295">
        <v>7</v>
      </c>
      <c r="C295" t="s">
        <v>381</v>
      </c>
      <c r="D295" t="s">
        <v>336</v>
      </c>
      <c r="E295" t="s">
        <v>337</v>
      </c>
      <c r="F295" t="s">
        <v>382</v>
      </c>
      <c r="G295" t="s">
        <v>24</v>
      </c>
      <c r="H295" t="s">
        <v>16</v>
      </c>
      <c r="I295" s="1">
        <v>-7188.78</v>
      </c>
      <c r="J295" s="1">
        <v>102646.16</v>
      </c>
      <c r="K295" s="1">
        <v>131241.85999999999</v>
      </c>
    </row>
    <row r="296" spans="1:11" x14ac:dyDescent="0.25">
      <c r="A296">
        <v>2023</v>
      </c>
      <c r="B296">
        <v>7</v>
      </c>
      <c r="C296" t="s">
        <v>383</v>
      </c>
      <c r="D296" t="s">
        <v>336</v>
      </c>
      <c r="E296" t="s">
        <v>337</v>
      </c>
      <c r="F296" t="s">
        <v>382</v>
      </c>
      <c r="G296" t="s">
        <v>24</v>
      </c>
      <c r="H296" t="s">
        <v>102</v>
      </c>
      <c r="I296" s="1">
        <v>-13537.39</v>
      </c>
      <c r="J296" s="1">
        <v>130033.65</v>
      </c>
      <c r="K296" s="1">
        <v>563779.85</v>
      </c>
    </row>
    <row r="297" spans="1:11" x14ac:dyDescent="0.25">
      <c r="A297">
        <v>2023</v>
      </c>
      <c r="B297">
        <v>7</v>
      </c>
      <c r="C297" t="s">
        <v>384</v>
      </c>
      <c r="D297" t="s">
        <v>336</v>
      </c>
      <c r="E297" t="s">
        <v>337</v>
      </c>
      <c r="F297" t="s">
        <v>376</v>
      </c>
      <c r="G297" t="s">
        <v>24</v>
      </c>
      <c r="H297" t="s">
        <v>358</v>
      </c>
      <c r="I297">
        <v>25</v>
      </c>
      <c r="J297">
        <v>25</v>
      </c>
      <c r="K297">
        <v>0</v>
      </c>
    </row>
    <row r="298" spans="1:11" x14ac:dyDescent="0.25">
      <c r="A298">
        <v>2023</v>
      </c>
      <c r="B298">
        <v>7</v>
      </c>
      <c r="C298" t="s">
        <v>385</v>
      </c>
      <c r="D298" t="s">
        <v>336</v>
      </c>
      <c r="E298" t="s">
        <v>337</v>
      </c>
      <c r="F298" t="s">
        <v>373</v>
      </c>
      <c r="G298" t="s">
        <v>24</v>
      </c>
      <c r="H298" t="s">
        <v>16</v>
      </c>
      <c r="I298">
        <v>45</v>
      </c>
      <c r="J298">
        <v>45</v>
      </c>
      <c r="K298">
        <v>0</v>
      </c>
    </row>
    <row r="299" spans="1:11" x14ac:dyDescent="0.25">
      <c r="A299">
        <v>2023</v>
      </c>
      <c r="B299">
        <v>7</v>
      </c>
      <c r="C299" t="s">
        <v>386</v>
      </c>
      <c r="D299" t="s">
        <v>336</v>
      </c>
      <c r="E299" t="s">
        <v>337</v>
      </c>
      <c r="F299" t="s">
        <v>373</v>
      </c>
      <c r="G299" t="s">
        <v>24</v>
      </c>
      <c r="H299" t="s">
        <v>102</v>
      </c>
      <c r="I299">
        <v>418</v>
      </c>
      <c r="J299">
        <v>0</v>
      </c>
      <c r="K299">
        <v>0</v>
      </c>
    </row>
    <row r="300" spans="1:11" x14ac:dyDescent="0.25">
      <c r="A300">
        <v>2023</v>
      </c>
      <c r="B300">
        <v>7</v>
      </c>
      <c r="C300" t="s">
        <v>387</v>
      </c>
      <c r="D300" t="s">
        <v>336</v>
      </c>
      <c r="E300" t="s">
        <v>337</v>
      </c>
      <c r="F300" t="s">
        <v>338</v>
      </c>
      <c r="G300" t="s">
        <v>298</v>
      </c>
      <c r="H300" t="s">
        <v>102</v>
      </c>
      <c r="I300" s="1">
        <v>85462.51</v>
      </c>
      <c r="J300" s="1">
        <v>12698.7</v>
      </c>
      <c r="K300">
        <v>654.91999999999996</v>
      </c>
    </row>
    <row r="301" spans="1:11" x14ac:dyDescent="0.25">
      <c r="A301">
        <v>2023</v>
      </c>
      <c r="B301">
        <v>7</v>
      </c>
      <c r="C301" t="s">
        <v>388</v>
      </c>
      <c r="D301" t="s">
        <v>336</v>
      </c>
      <c r="E301" t="s">
        <v>337</v>
      </c>
      <c r="F301" t="s">
        <v>338</v>
      </c>
      <c r="G301" t="s">
        <v>28</v>
      </c>
      <c r="H301" t="s">
        <v>16</v>
      </c>
      <c r="I301">
        <v>0</v>
      </c>
      <c r="J301" s="1">
        <v>13500</v>
      </c>
      <c r="K301" s="1">
        <v>13500</v>
      </c>
    </row>
    <row r="302" spans="1:11" x14ac:dyDescent="0.25">
      <c r="A302">
        <v>2023</v>
      </c>
      <c r="B302">
        <v>7</v>
      </c>
      <c r="C302" t="s">
        <v>389</v>
      </c>
      <c r="D302" t="s">
        <v>336</v>
      </c>
      <c r="E302" t="s">
        <v>337</v>
      </c>
      <c r="F302" t="s">
        <v>376</v>
      </c>
      <c r="G302" t="s">
        <v>28</v>
      </c>
      <c r="H302" t="s">
        <v>358</v>
      </c>
      <c r="I302" s="1">
        <v>19882.5</v>
      </c>
      <c r="J302" s="1">
        <v>16306.61</v>
      </c>
      <c r="K302" s="1">
        <v>25286.61</v>
      </c>
    </row>
    <row r="303" spans="1:11" x14ac:dyDescent="0.25">
      <c r="A303">
        <v>2023</v>
      </c>
      <c r="B303">
        <v>7</v>
      </c>
      <c r="C303" t="s">
        <v>390</v>
      </c>
      <c r="D303" t="s">
        <v>336</v>
      </c>
      <c r="E303" t="s">
        <v>337</v>
      </c>
      <c r="F303" t="s">
        <v>373</v>
      </c>
      <c r="G303" t="s">
        <v>28</v>
      </c>
      <c r="H303" t="s">
        <v>102</v>
      </c>
      <c r="I303" s="1">
        <v>24061.95</v>
      </c>
      <c r="J303" s="1">
        <v>19604.41</v>
      </c>
      <c r="K303" s="1">
        <v>19604.41</v>
      </c>
    </row>
    <row r="304" spans="1:11" x14ac:dyDescent="0.25">
      <c r="A304">
        <v>2023</v>
      </c>
      <c r="B304">
        <v>7</v>
      </c>
      <c r="C304" t="s">
        <v>391</v>
      </c>
      <c r="D304" t="s">
        <v>336</v>
      </c>
      <c r="E304" t="s">
        <v>337</v>
      </c>
      <c r="F304" t="s">
        <v>338</v>
      </c>
      <c r="G304" t="s">
        <v>187</v>
      </c>
      <c r="H304" t="s">
        <v>16</v>
      </c>
      <c r="I304">
        <v>0</v>
      </c>
      <c r="J304" s="1">
        <v>274484.63</v>
      </c>
      <c r="K304" s="1">
        <v>548971.42000000004</v>
      </c>
    </row>
    <row r="305" spans="1:11" x14ac:dyDescent="0.25">
      <c r="A305">
        <v>2023</v>
      </c>
      <c r="B305">
        <v>7</v>
      </c>
      <c r="C305" t="s">
        <v>392</v>
      </c>
      <c r="D305" t="s">
        <v>336</v>
      </c>
      <c r="E305" t="s">
        <v>13</v>
      </c>
      <c r="F305" t="s">
        <v>376</v>
      </c>
      <c r="G305" t="s">
        <v>31</v>
      </c>
      <c r="H305" t="s">
        <v>16</v>
      </c>
      <c r="I305" s="1">
        <v>-141440.92000000001</v>
      </c>
      <c r="J305" s="1">
        <v>284646.39</v>
      </c>
      <c r="K305" s="1">
        <v>256556.57</v>
      </c>
    </row>
    <row r="306" spans="1:11" x14ac:dyDescent="0.25">
      <c r="A306">
        <v>2023</v>
      </c>
      <c r="B306">
        <v>7</v>
      </c>
      <c r="C306" t="s">
        <v>393</v>
      </c>
      <c r="D306" t="s">
        <v>336</v>
      </c>
      <c r="E306" t="s">
        <v>13</v>
      </c>
      <c r="F306" t="s">
        <v>376</v>
      </c>
      <c r="G306" t="s">
        <v>31</v>
      </c>
      <c r="H306" t="s">
        <v>26</v>
      </c>
      <c r="I306">
        <v>0</v>
      </c>
      <c r="J306" s="1">
        <v>16650</v>
      </c>
      <c r="K306">
        <v>650</v>
      </c>
    </row>
    <row r="307" spans="1:11" x14ac:dyDescent="0.25">
      <c r="A307">
        <v>2023</v>
      </c>
      <c r="B307">
        <v>7</v>
      </c>
      <c r="C307" t="s">
        <v>394</v>
      </c>
      <c r="D307" t="s">
        <v>336</v>
      </c>
      <c r="E307" t="s">
        <v>13</v>
      </c>
      <c r="F307" t="s">
        <v>376</v>
      </c>
      <c r="G307" t="s">
        <v>31</v>
      </c>
      <c r="H307" t="s">
        <v>360</v>
      </c>
      <c r="I307">
        <v>0</v>
      </c>
      <c r="J307" s="1">
        <v>138656.14000000001</v>
      </c>
      <c r="K307" s="1">
        <v>48735.34</v>
      </c>
    </row>
    <row r="308" spans="1:11" x14ac:dyDescent="0.25">
      <c r="A308">
        <v>2023</v>
      </c>
      <c r="B308">
        <v>7</v>
      </c>
      <c r="C308" t="s">
        <v>395</v>
      </c>
      <c r="D308" t="s">
        <v>336</v>
      </c>
      <c r="E308" t="s">
        <v>13</v>
      </c>
      <c r="F308" t="s">
        <v>376</v>
      </c>
      <c r="G308" t="s">
        <v>31</v>
      </c>
      <c r="H308" t="s">
        <v>16</v>
      </c>
      <c r="I308">
        <v>0</v>
      </c>
      <c r="J308" s="1">
        <v>17604</v>
      </c>
      <c r="K308" s="1">
        <v>17604</v>
      </c>
    </row>
    <row r="309" spans="1:11" x14ac:dyDescent="0.25">
      <c r="A309">
        <v>2023</v>
      </c>
      <c r="B309">
        <v>7</v>
      </c>
      <c r="C309" t="s">
        <v>396</v>
      </c>
      <c r="D309" t="s">
        <v>336</v>
      </c>
      <c r="E309" t="s">
        <v>337</v>
      </c>
      <c r="F309" t="s">
        <v>338</v>
      </c>
      <c r="G309" t="s">
        <v>31</v>
      </c>
      <c r="H309" t="s">
        <v>16</v>
      </c>
      <c r="I309" s="1">
        <v>133556.53</v>
      </c>
      <c r="J309" s="1">
        <v>1491468.02</v>
      </c>
      <c r="K309" s="1">
        <v>1561436.64</v>
      </c>
    </row>
    <row r="310" spans="1:11" x14ac:dyDescent="0.25">
      <c r="A310">
        <v>2023</v>
      </c>
      <c r="B310">
        <v>7</v>
      </c>
      <c r="C310" t="s">
        <v>397</v>
      </c>
      <c r="D310" t="s">
        <v>336</v>
      </c>
      <c r="E310" t="s">
        <v>337</v>
      </c>
      <c r="F310" t="s">
        <v>338</v>
      </c>
      <c r="G310" t="s">
        <v>31</v>
      </c>
      <c r="H310" t="s">
        <v>102</v>
      </c>
      <c r="I310" s="1">
        <v>-246061.85</v>
      </c>
      <c r="J310" s="1">
        <v>779000.54</v>
      </c>
      <c r="K310" s="1">
        <v>111648.09</v>
      </c>
    </row>
    <row r="311" spans="1:11" x14ac:dyDescent="0.25">
      <c r="A311">
        <v>2023</v>
      </c>
      <c r="B311">
        <v>7</v>
      </c>
      <c r="C311" t="s">
        <v>398</v>
      </c>
      <c r="D311" t="s">
        <v>336</v>
      </c>
      <c r="E311" t="s">
        <v>337</v>
      </c>
      <c r="F311" t="s">
        <v>338</v>
      </c>
      <c r="G311" t="s">
        <v>31</v>
      </c>
      <c r="H311" t="s">
        <v>104</v>
      </c>
      <c r="I311" s="1">
        <v>18840</v>
      </c>
      <c r="J311">
        <v>0</v>
      </c>
      <c r="K311">
        <v>0</v>
      </c>
    </row>
    <row r="312" spans="1:11" x14ac:dyDescent="0.25">
      <c r="A312">
        <v>2023</v>
      </c>
      <c r="B312">
        <v>7</v>
      </c>
      <c r="C312" t="s">
        <v>399</v>
      </c>
      <c r="D312" t="s">
        <v>336</v>
      </c>
      <c r="E312" t="s">
        <v>337</v>
      </c>
      <c r="F312" t="s">
        <v>338</v>
      </c>
      <c r="G312" t="s">
        <v>31</v>
      </c>
      <c r="H312" t="s">
        <v>104</v>
      </c>
      <c r="I312" s="1">
        <v>27770</v>
      </c>
      <c r="J312" s="1">
        <v>32640</v>
      </c>
      <c r="K312">
        <v>0</v>
      </c>
    </row>
    <row r="313" spans="1:11" x14ac:dyDescent="0.25">
      <c r="A313">
        <v>2023</v>
      </c>
      <c r="B313">
        <v>7</v>
      </c>
      <c r="C313" t="s">
        <v>400</v>
      </c>
      <c r="D313" t="s">
        <v>336</v>
      </c>
      <c r="E313" t="s">
        <v>337</v>
      </c>
      <c r="F313" t="s">
        <v>376</v>
      </c>
      <c r="G313" t="s">
        <v>31</v>
      </c>
      <c r="H313" t="s">
        <v>358</v>
      </c>
      <c r="I313">
        <v>620</v>
      </c>
      <c r="J313" s="1">
        <v>21084.14</v>
      </c>
      <c r="K313" s="1">
        <v>19104.14</v>
      </c>
    </row>
    <row r="314" spans="1:11" x14ac:dyDescent="0.25">
      <c r="A314">
        <v>2023</v>
      </c>
      <c r="B314">
        <v>7</v>
      </c>
      <c r="C314" t="s">
        <v>401</v>
      </c>
      <c r="D314" t="s">
        <v>336</v>
      </c>
      <c r="E314" t="s">
        <v>337</v>
      </c>
      <c r="F314" t="s">
        <v>373</v>
      </c>
      <c r="G314" t="s">
        <v>31</v>
      </c>
      <c r="H314" t="s">
        <v>16</v>
      </c>
      <c r="I314">
        <v>0</v>
      </c>
      <c r="J314" s="1">
        <v>3960</v>
      </c>
      <c r="K314" s="1">
        <v>10343.33</v>
      </c>
    </row>
    <row r="315" spans="1:11" x14ac:dyDescent="0.25">
      <c r="A315">
        <v>2023</v>
      </c>
      <c r="B315">
        <v>7</v>
      </c>
      <c r="C315" t="s">
        <v>402</v>
      </c>
      <c r="D315" t="s">
        <v>336</v>
      </c>
      <c r="E315" t="s">
        <v>337</v>
      </c>
      <c r="F315" t="s">
        <v>373</v>
      </c>
      <c r="G315" t="s">
        <v>31</v>
      </c>
      <c r="H315" t="s">
        <v>102</v>
      </c>
      <c r="I315" s="1">
        <v>-10632</v>
      </c>
      <c r="J315">
        <v>0</v>
      </c>
      <c r="K315">
        <v>0</v>
      </c>
    </row>
    <row r="316" spans="1:11" x14ac:dyDescent="0.25">
      <c r="A316">
        <v>2023</v>
      </c>
      <c r="B316">
        <v>7</v>
      </c>
      <c r="C316" t="s">
        <v>403</v>
      </c>
      <c r="D316" t="s">
        <v>336</v>
      </c>
      <c r="E316" t="s">
        <v>337</v>
      </c>
      <c r="F316" t="s">
        <v>373</v>
      </c>
      <c r="G316" t="s">
        <v>31</v>
      </c>
      <c r="H316" t="s">
        <v>102</v>
      </c>
      <c r="I316" s="1">
        <v>62687.519999999997</v>
      </c>
      <c r="J316" s="1">
        <v>36928.65</v>
      </c>
      <c r="K316" s="1">
        <v>37142.32</v>
      </c>
    </row>
    <row r="317" spans="1:11" x14ac:dyDescent="0.25">
      <c r="A317">
        <v>2023</v>
      </c>
      <c r="B317">
        <v>7</v>
      </c>
      <c r="C317" t="s">
        <v>404</v>
      </c>
      <c r="D317" t="s">
        <v>336</v>
      </c>
      <c r="E317" t="s">
        <v>337</v>
      </c>
      <c r="F317" t="s">
        <v>373</v>
      </c>
      <c r="G317" t="s">
        <v>31</v>
      </c>
      <c r="H317" t="s">
        <v>358</v>
      </c>
      <c r="I317" s="1">
        <v>3472</v>
      </c>
      <c r="J317">
        <v>0</v>
      </c>
      <c r="K317">
        <v>0</v>
      </c>
    </row>
    <row r="318" spans="1:11" x14ac:dyDescent="0.25">
      <c r="A318">
        <v>2023</v>
      </c>
      <c r="B318">
        <v>7</v>
      </c>
      <c r="C318" t="s">
        <v>405</v>
      </c>
      <c r="D318" t="s">
        <v>336</v>
      </c>
      <c r="E318" t="s">
        <v>337</v>
      </c>
      <c r="F318" t="s">
        <v>373</v>
      </c>
      <c r="G318" t="s">
        <v>31</v>
      </c>
      <c r="H318" t="s">
        <v>104</v>
      </c>
      <c r="I318" s="1">
        <v>29900</v>
      </c>
      <c r="J318">
        <v>0</v>
      </c>
      <c r="K318">
        <v>0</v>
      </c>
    </row>
    <row r="319" spans="1:11" x14ac:dyDescent="0.25">
      <c r="A319">
        <v>2023</v>
      </c>
      <c r="B319">
        <v>7</v>
      </c>
      <c r="C319" t="s">
        <v>406</v>
      </c>
      <c r="D319" t="s">
        <v>336</v>
      </c>
      <c r="E319" t="s">
        <v>337</v>
      </c>
      <c r="F319" t="s">
        <v>338</v>
      </c>
      <c r="G319" t="s">
        <v>62</v>
      </c>
      <c r="H319" t="s">
        <v>102</v>
      </c>
      <c r="I319">
        <v>0</v>
      </c>
      <c r="J319" s="1">
        <v>563629.88</v>
      </c>
      <c r="K319" s="1">
        <v>1037295.12</v>
      </c>
    </row>
    <row r="320" spans="1:11" x14ac:dyDescent="0.25">
      <c r="A320">
        <v>2023</v>
      </c>
      <c r="B320">
        <v>7</v>
      </c>
      <c r="C320" t="s">
        <v>407</v>
      </c>
      <c r="D320" t="s">
        <v>336</v>
      </c>
      <c r="E320" t="s">
        <v>337</v>
      </c>
      <c r="F320" t="s">
        <v>338</v>
      </c>
      <c r="G320" t="s">
        <v>40</v>
      </c>
      <c r="H320" t="s">
        <v>16</v>
      </c>
      <c r="I320" s="1">
        <v>32374</v>
      </c>
      <c r="J320" s="1">
        <v>32374</v>
      </c>
      <c r="K320" s="1">
        <v>32374</v>
      </c>
    </row>
    <row r="321" spans="1:11" x14ac:dyDescent="0.25">
      <c r="A321">
        <v>2023</v>
      </c>
      <c r="B321">
        <v>7</v>
      </c>
      <c r="C321" t="s">
        <v>408</v>
      </c>
      <c r="D321" t="s">
        <v>336</v>
      </c>
      <c r="E321" t="s">
        <v>337</v>
      </c>
      <c r="F321" t="s">
        <v>338</v>
      </c>
      <c r="G321" t="s">
        <v>116</v>
      </c>
      <c r="H321" t="s">
        <v>16</v>
      </c>
      <c r="I321">
        <v>664.63</v>
      </c>
      <c r="J321">
        <v>664.63</v>
      </c>
      <c r="K321">
        <v>0</v>
      </c>
    </row>
    <row r="322" spans="1:11" x14ac:dyDescent="0.25">
      <c r="A322">
        <v>2023</v>
      </c>
      <c r="B322">
        <v>7</v>
      </c>
      <c r="C322" t="s">
        <v>409</v>
      </c>
      <c r="D322" t="s">
        <v>336</v>
      </c>
      <c r="E322" t="s">
        <v>337</v>
      </c>
      <c r="F322" t="s">
        <v>373</v>
      </c>
      <c r="G322" t="s">
        <v>116</v>
      </c>
      <c r="H322" t="s">
        <v>104</v>
      </c>
      <c r="I322">
        <v>-712</v>
      </c>
      <c r="J322">
        <v>0</v>
      </c>
      <c r="K322">
        <v>0</v>
      </c>
    </row>
    <row r="323" spans="1:11" x14ac:dyDescent="0.25">
      <c r="A323">
        <v>2023</v>
      </c>
      <c r="B323">
        <v>7</v>
      </c>
      <c r="C323" t="s">
        <v>410</v>
      </c>
      <c r="D323" t="s">
        <v>336</v>
      </c>
      <c r="E323" t="s">
        <v>13</v>
      </c>
      <c r="F323" t="s">
        <v>376</v>
      </c>
      <c r="G323" t="s">
        <v>42</v>
      </c>
      <c r="H323" t="s">
        <v>16</v>
      </c>
      <c r="I323" s="1">
        <v>7676.44</v>
      </c>
      <c r="J323">
        <v>0</v>
      </c>
      <c r="K323">
        <v>0</v>
      </c>
    </row>
    <row r="324" spans="1:11" x14ac:dyDescent="0.25">
      <c r="A324">
        <v>2023</v>
      </c>
      <c r="B324">
        <v>7</v>
      </c>
      <c r="C324" t="s">
        <v>411</v>
      </c>
      <c r="D324" t="s">
        <v>336</v>
      </c>
      <c r="E324" t="s">
        <v>337</v>
      </c>
      <c r="F324" t="s">
        <v>376</v>
      </c>
      <c r="G324" t="s">
        <v>42</v>
      </c>
      <c r="H324" t="s">
        <v>358</v>
      </c>
      <c r="I324" s="1">
        <v>29355</v>
      </c>
      <c r="J324" s="1">
        <v>2669</v>
      </c>
      <c r="K324" s="1">
        <v>2669</v>
      </c>
    </row>
    <row r="325" spans="1:11" x14ac:dyDescent="0.25">
      <c r="A325">
        <v>2023</v>
      </c>
      <c r="B325">
        <v>7</v>
      </c>
      <c r="C325" t="s">
        <v>412</v>
      </c>
      <c r="D325" t="s">
        <v>336</v>
      </c>
      <c r="E325" t="s">
        <v>337</v>
      </c>
      <c r="F325" t="s">
        <v>364</v>
      </c>
      <c r="G325" t="s">
        <v>81</v>
      </c>
      <c r="H325" t="s">
        <v>16</v>
      </c>
      <c r="I325">
        <v>0</v>
      </c>
      <c r="J325" s="1">
        <v>530333.22</v>
      </c>
      <c r="K325" s="1">
        <v>530333.22</v>
      </c>
    </row>
    <row r="326" spans="1:11" x14ac:dyDescent="0.25">
      <c r="A326">
        <v>2023</v>
      </c>
      <c r="B326">
        <v>7</v>
      </c>
      <c r="C326" t="s">
        <v>413</v>
      </c>
      <c r="D326" t="s">
        <v>336</v>
      </c>
      <c r="E326" t="s">
        <v>337</v>
      </c>
      <c r="F326" t="s">
        <v>364</v>
      </c>
      <c r="G326" t="s">
        <v>81</v>
      </c>
      <c r="H326" t="s">
        <v>16</v>
      </c>
      <c r="I326" s="1">
        <v>7760682.75</v>
      </c>
      <c r="J326" s="1">
        <v>7807722.5999999996</v>
      </c>
      <c r="K326" s="1">
        <v>7503394.0499999998</v>
      </c>
    </row>
    <row r="327" spans="1:11" x14ac:dyDescent="0.25">
      <c r="A327">
        <v>2023</v>
      </c>
      <c r="B327">
        <v>7</v>
      </c>
      <c r="C327" t="s">
        <v>414</v>
      </c>
      <c r="D327" t="s">
        <v>336</v>
      </c>
      <c r="E327" t="s">
        <v>337</v>
      </c>
      <c r="F327" t="s">
        <v>364</v>
      </c>
      <c r="G327" t="s">
        <v>81</v>
      </c>
      <c r="H327" t="s">
        <v>16</v>
      </c>
      <c r="I327">
        <v>0</v>
      </c>
      <c r="J327" s="1">
        <v>328070.34000000003</v>
      </c>
      <c r="K327" s="1">
        <v>328070.34000000003</v>
      </c>
    </row>
    <row r="328" spans="1:11" x14ac:dyDescent="0.25">
      <c r="A328">
        <v>2023</v>
      </c>
      <c r="B328">
        <v>7</v>
      </c>
      <c r="C328" t="s">
        <v>415</v>
      </c>
      <c r="D328" t="s">
        <v>336</v>
      </c>
      <c r="E328" t="s">
        <v>337</v>
      </c>
      <c r="F328" t="s">
        <v>364</v>
      </c>
      <c r="G328" t="s">
        <v>81</v>
      </c>
      <c r="H328" t="s">
        <v>102</v>
      </c>
      <c r="I328">
        <v>0</v>
      </c>
      <c r="J328" s="1">
        <v>2127516.96</v>
      </c>
      <c r="K328" s="1">
        <v>2127516.96</v>
      </c>
    </row>
    <row r="329" spans="1:11" x14ac:dyDescent="0.25">
      <c r="A329">
        <v>2023</v>
      </c>
      <c r="B329">
        <v>7</v>
      </c>
      <c r="C329" t="s">
        <v>416</v>
      </c>
      <c r="D329" t="s">
        <v>336</v>
      </c>
      <c r="E329" t="s">
        <v>337</v>
      </c>
      <c r="F329" t="s">
        <v>364</v>
      </c>
      <c r="G329" t="s">
        <v>24</v>
      </c>
      <c r="H329" t="s">
        <v>16</v>
      </c>
      <c r="I329" s="1">
        <v>52698.19</v>
      </c>
      <c r="J329" s="1">
        <v>131604.93</v>
      </c>
      <c r="K329" s="1">
        <v>401389.87</v>
      </c>
    </row>
    <row r="330" spans="1:11" x14ac:dyDescent="0.25">
      <c r="A330">
        <v>2023</v>
      </c>
      <c r="B330">
        <v>7</v>
      </c>
      <c r="C330" t="s">
        <v>417</v>
      </c>
      <c r="D330" t="s">
        <v>336</v>
      </c>
      <c r="E330" t="s">
        <v>337</v>
      </c>
      <c r="F330" t="s">
        <v>364</v>
      </c>
      <c r="G330" t="s">
        <v>24</v>
      </c>
      <c r="H330" t="s">
        <v>102</v>
      </c>
      <c r="I330" s="1">
        <v>166126.82999999999</v>
      </c>
      <c r="J330" s="1">
        <v>311264.45</v>
      </c>
      <c r="K330" s="1">
        <v>485812.66</v>
      </c>
    </row>
    <row r="331" spans="1:11" x14ac:dyDescent="0.25">
      <c r="A331">
        <v>2023</v>
      </c>
      <c r="B331">
        <v>7</v>
      </c>
      <c r="C331" t="s">
        <v>418</v>
      </c>
      <c r="D331" t="s">
        <v>336</v>
      </c>
      <c r="E331" t="s">
        <v>337</v>
      </c>
      <c r="F331" t="s">
        <v>364</v>
      </c>
      <c r="G331" t="s">
        <v>298</v>
      </c>
      <c r="H331" t="s">
        <v>16</v>
      </c>
      <c r="I331" s="1">
        <v>512719.73</v>
      </c>
      <c r="J331" s="1">
        <v>792646.02</v>
      </c>
      <c r="K331" s="1">
        <v>1231215.2</v>
      </c>
    </row>
    <row r="332" spans="1:11" x14ac:dyDescent="0.25">
      <c r="A332">
        <v>2023</v>
      </c>
      <c r="B332">
        <v>7</v>
      </c>
      <c r="C332" t="s">
        <v>419</v>
      </c>
      <c r="D332" t="s">
        <v>336</v>
      </c>
      <c r="E332" t="s">
        <v>337</v>
      </c>
      <c r="F332" t="s">
        <v>364</v>
      </c>
      <c r="G332" t="s">
        <v>298</v>
      </c>
      <c r="H332" t="s">
        <v>102</v>
      </c>
      <c r="I332" s="1">
        <v>6895.45</v>
      </c>
      <c r="J332" s="1">
        <v>661633.72</v>
      </c>
      <c r="K332" s="1">
        <v>418217.32</v>
      </c>
    </row>
    <row r="333" spans="1:11" x14ac:dyDescent="0.25">
      <c r="A333">
        <v>2023</v>
      </c>
      <c r="B333">
        <v>7</v>
      </c>
      <c r="C333" t="s">
        <v>420</v>
      </c>
      <c r="D333" t="s">
        <v>336</v>
      </c>
      <c r="E333" t="s">
        <v>337</v>
      </c>
      <c r="F333" t="s">
        <v>364</v>
      </c>
      <c r="G333" t="s">
        <v>28</v>
      </c>
      <c r="H333" t="s">
        <v>16</v>
      </c>
      <c r="I333">
        <v>0</v>
      </c>
      <c r="J333" s="1">
        <v>3472</v>
      </c>
      <c r="K333" s="1">
        <v>3472</v>
      </c>
    </row>
    <row r="334" spans="1:11" x14ac:dyDescent="0.25">
      <c r="A334">
        <v>2023</v>
      </c>
      <c r="B334">
        <v>7</v>
      </c>
      <c r="C334" t="s">
        <v>421</v>
      </c>
      <c r="D334" t="s">
        <v>336</v>
      </c>
      <c r="E334" t="s">
        <v>337</v>
      </c>
      <c r="F334" t="s">
        <v>364</v>
      </c>
      <c r="G334" t="s">
        <v>187</v>
      </c>
      <c r="H334" t="s">
        <v>102</v>
      </c>
      <c r="I334">
        <v>0</v>
      </c>
      <c r="J334" s="1">
        <v>258469.37</v>
      </c>
      <c r="K334" s="1">
        <v>201619.37</v>
      </c>
    </row>
    <row r="335" spans="1:11" x14ac:dyDescent="0.25">
      <c r="A335">
        <v>2023</v>
      </c>
      <c r="B335">
        <v>7</v>
      </c>
      <c r="C335" t="s">
        <v>422</v>
      </c>
      <c r="D335" t="s">
        <v>336</v>
      </c>
      <c r="E335" t="s">
        <v>337</v>
      </c>
      <c r="F335" t="s">
        <v>364</v>
      </c>
      <c r="G335" t="s">
        <v>31</v>
      </c>
      <c r="H335" t="s">
        <v>16</v>
      </c>
      <c r="I335" s="1">
        <v>-818145.26</v>
      </c>
      <c r="J335" s="1">
        <v>9909403.1899999995</v>
      </c>
      <c r="K335" s="1">
        <v>8803568.5800000001</v>
      </c>
    </row>
    <row r="336" spans="1:11" x14ac:dyDescent="0.25">
      <c r="A336">
        <v>2023</v>
      </c>
      <c r="B336">
        <v>7</v>
      </c>
      <c r="C336" t="s">
        <v>423</v>
      </c>
      <c r="D336" t="s">
        <v>336</v>
      </c>
      <c r="E336" t="s">
        <v>337</v>
      </c>
      <c r="F336" t="s">
        <v>364</v>
      </c>
      <c r="G336" t="s">
        <v>31</v>
      </c>
      <c r="H336" t="s">
        <v>102</v>
      </c>
      <c r="I336" s="1">
        <v>929434.6</v>
      </c>
      <c r="J336" s="1">
        <v>3757176.43</v>
      </c>
      <c r="K336" s="1">
        <v>4021314.74</v>
      </c>
    </row>
    <row r="337" spans="1:11" x14ac:dyDescent="0.25">
      <c r="A337">
        <v>2023</v>
      </c>
      <c r="B337">
        <v>7</v>
      </c>
      <c r="C337" t="s">
        <v>424</v>
      </c>
      <c r="D337" t="s">
        <v>336</v>
      </c>
      <c r="E337" t="s">
        <v>337</v>
      </c>
      <c r="F337" t="s">
        <v>364</v>
      </c>
      <c r="G337" t="s">
        <v>31</v>
      </c>
      <c r="H337" t="s">
        <v>267</v>
      </c>
      <c r="I337" s="1">
        <v>40380.879999999997</v>
      </c>
      <c r="J337">
        <v>0</v>
      </c>
      <c r="K337">
        <v>0</v>
      </c>
    </row>
    <row r="338" spans="1:11" x14ac:dyDescent="0.25">
      <c r="A338">
        <v>2023</v>
      </c>
      <c r="B338">
        <v>7</v>
      </c>
      <c r="C338" t="s">
        <v>425</v>
      </c>
      <c r="D338" t="s">
        <v>336</v>
      </c>
      <c r="E338" t="s">
        <v>337</v>
      </c>
      <c r="F338" t="s">
        <v>364</v>
      </c>
      <c r="G338" t="s">
        <v>31</v>
      </c>
      <c r="H338" t="s">
        <v>104</v>
      </c>
      <c r="I338">
        <v>0</v>
      </c>
      <c r="J338" s="1">
        <v>2823412.13</v>
      </c>
      <c r="K338" s="1">
        <v>3899478.98</v>
      </c>
    </row>
    <row r="339" spans="1:11" x14ac:dyDescent="0.25">
      <c r="A339">
        <v>2023</v>
      </c>
      <c r="B339">
        <v>7</v>
      </c>
      <c r="C339" t="s">
        <v>426</v>
      </c>
      <c r="D339" t="s">
        <v>336</v>
      </c>
      <c r="E339" t="s">
        <v>337</v>
      </c>
      <c r="F339" t="s">
        <v>364</v>
      </c>
      <c r="G339" t="s">
        <v>31</v>
      </c>
      <c r="H339" t="s">
        <v>104</v>
      </c>
      <c r="I339">
        <v>0</v>
      </c>
      <c r="J339" s="1">
        <v>46820.800000000003</v>
      </c>
      <c r="K339" s="1">
        <v>46820.800000000003</v>
      </c>
    </row>
    <row r="340" spans="1:11" x14ac:dyDescent="0.25">
      <c r="A340">
        <v>2023</v>
      </c>
      <c r="B340">
        <v>7</v>
      </c>
      <c r="C340" t="s">
        <v>427</v>
      </c>
      <c r="D340" t="s">
        <v>336</v>
      </c>
      <c r="E340" t="s">
        <v>337</v>
      </c>
      <c r="F340" t="s">
        <v>364</v>
      </c>
      <c r="G340" t="s">
        <v>62</v>
      </c>
      <c r="H340" t="s">
        <v>16</v>
      </c>
      <c r="I340">
        <v>0</v>
      </c>
      <c r="J340" s="1">
        <v>544179.42000000004</v>
      </c>
      <c r="K340" s="1">
        <v>63432.11</v>
      </c>
    </row>
    <row r="341" spans="1:11" x14ac:dyDescent="0.25">
      <c r="A341">
        <v>2023</v>
      </c>
      <c r="B341">
        <v>7</v>
      </c>
      <c r="C341" t="s">
        <v>428</v>
      </c>
      <c r="D341" t="s">
        <v>336</v>
      </c>
      <c r="E341" t="s">
        <v>337</v>
      </c>
      <c r="F341" t="s">
        <v>364</v>
      </c>
      <c r="G341" t="s">
        <v>40</v>
      </c>
      <c r="H341" t="s">
        <v>102</v>
      </c>
      <c r="I341" s="1">
        <v>22066</v>
      </c>
      <c r="J341" s="1">
        <v>22066</v>
      </c>
      <c r="K341" s="1">
        <v>15081</v>
      </c>
    </row>
    <row r="342" spans="1:11" x14ac:dyDescent="0.25">
      <c r="A342">
        <v>2023</v>
      </c>
      <c r="B342">
        <v>7</v>
      </c>
      <c r="C342" t="s">
        <v>429</v>
      </c>
      <c r="D342" t="s">
        <v>336</v>
      </c>
      <c r="E342" t="s">
        <v>337</v>
      </c>
      <c r="F342" t="s">
        <v>364</v>
      </c>
      <c r="G342" t="s">
        <v>42</v>
      </c>
      <c r="H342" t="s">
        <v>16</v>
      </c>
      <c r="I342" s="1">
        <v>23035.1</v>
      </c>
      <c r="J342" s="1">
        <v>76243.7</v>
      </c>
      <c r="K342" s="1">
        <v>61866.6</v>
      </c>
    </row>
    <row r="343" spans="1:11" x14ac:dyDescent="0.25">
      <c r="A343">
        <v>2023</v>
      </c>
      <c r="B343">
        <v>7</v>
      </c>
      <c r="C343" t="s">
        <v>430</v>
      </c>
      <c r="D343" t="s">
        <v>431</v>
      </c>
      <c r="E343" t="s">
        <v>432</v>
      </c>
      <c r="F343" t="s">
        <v>14</v>
      </c>
      <c r="G343" t="s">
        <v>15</v>
      </c>
      <c r="H343" t="s">
        <v>16</v>
      </c>
      <c r="I343" s="1">
        <v>785931.88</v>
      </c>
      <c r="J343" s="1">
        <v>785931.88</v>
      </c>
      <c r="K343" s="1">
        <v>785931.88</v>
      </c>
    </row>
    <row r="344" spans="1:11" x14ac:dyDescent="0.25">
      <c r="A344">
        <v>2023</v>
      </c>
      <c r="B344">
        <v>7</v>
      </c>
      <c r="C344" t="s">
        <v>433</v>
      </c>
      <c r="D344" t="s">
        <v>431</v>
      </c>
      <c r="E344" t="s">
        <v>432</v>
      </c>
      <c r="F344" t="s">
        <v>14</v>
      </c>
      <c r="G344" t="s">
        <v>24</v>
      </c>
      <c r="H344" t="s">
        <v>16</v>
      </c>
      <c r="I344" s="1">
        <v>4793.6000000000004</v>
      </c>
      <c r="J344" s="1">
        <v>2542.52</v>
      </c>
      <c r="K344" s="1">
        <v>1513.04</v>
      </c>
    </row>
    <row r="345" spans="1:11" x14ac:dyDescent="0.25">
      <c r="A345">
        <v>2023</v>
      </c>
      <c r="B345">
        <v>7</v>
      </c>
      <c r="C345" t="s">
        <v>434</v>
      </c>
      <c r="D345" t="s">
        <v>431</v>
      </c>
      <c r="E345" t="s">
        <v>432</v>
      </c>
      <c r="F345" t="s">
        <v>14</v>
      </c>
      <c r="G345" t="s">
        <v>28</v>
      </c>
      <c r="H345" t="s">
        <v>16</v>
      </c>
      <c r="I345" s="1">
        <v>46861.39</v>
      </c>
      <c r="J345" s="1">
        <v>46861.39</v>
      </c>
      <c r="K345" s="1">
        <v>41390.129999999997</v>
      </c>
    </row>
    <row r="346" spans="1:11" x14ac:dyDescent="0.25">
      <c r="A346">
        <v>2023</v>
      </c>
      <c r="B346">
        <v>7</v>
      </c>
      <c r="C346" t="s">
        <v>435</v>
      </c>
      <c r="D346" t="s">
        <v>431</v>
      </c>
      <c r="E346" t="s">
        <v>432</v>
      </c>
      <c r="F346" t="s">
        <v>14</v>
      </c>
      <c r="G346" t="s">
        <v>31</v>
      </c>
      <c r="H346" t="s">
        <v>16</v>
      </c>
      <c r="I346" s="1">
        <v>2699317.41</v>
      </c>
      <c r="J346" s="1">
        <v>2934473.5</v>
      </c>
      <c r="K346" s="1">
        <v>2038475.34</v>
      </c>
    </row>
    <row r="347" spans="1:11" x14ac:dyDescent="0.25">
      <c r="A347">
        <v>2023</v>
      </c>
      <c r="B347">
        <v>7</v>
      </c>
      <c r="C347" t="s">
        <v>436</v>
      </c>
      <c r="D347" t="s">
        <v>431</v>
      </c>
      <c r="E347" t="s">
        <v>432</v>
      </c>
      <c r="F347" t="s">
        <v>14</v>
      </c>
      <c r="G347" t="s">
        <v>31</v>
      </c>
      <c r="H347" t="s">
        <v>55</v>
      </c>
      <c r="I347">
        <v>0</v>
      </c>
      <c r="J347" s="1">
        <v>37500</v>
      </c>
      <c r="K347" s="1">
        <v>39129.160000000003</v>
      </c>
    </row>
    <row r="348" spans="1:11" x14ac:dyDescent="0.25">
      <c r="A348">
        <v>2023</v>
      </c>
      <c r="B348">
        <v>7</v>
      </c>
      <c r="C348" t="s">
        <v>437</v>
      </c>
      <c r="D348" t="s">
        <v>431</v>
      </c>
      <c r="E348" t="s">
        <v>432</v>
      </c>
      <c r="F348" t="s">
        <v>107</v>
      </c>
      <c r="G348" t="s">
        <v>31</v>
      </c>
      <c r="H348" t="s">
        <v>16</v>
      </c>
      <c r="I348">
        <v>3</v>
      </c>
      <c r="J348" s="1">
        <v>203002.43</v>
      </c>
      <c r="K348" s="1">
        <v>166002.43</v>
      </c>
    </row>
    <row r="349" spans="1:11" x14ac:dyDescent="0.25">
      <c r="A349">
        <v>2023</v>
      </c>
      <c r="B349">
        <v>7</v>
      </c>
      <c r="C349" t="s">
        <v>438</v>
      </c>
      <c r="D349" t="s">
        <v>431</v>
      </c>
      <c r="E349" t="s">
        <v>432</v>
      </c>
      <c r="F349" t="s">
        <v>14</v>
      </c>
      <c r="G349" t="s">
        <v>101</v>
      </c>
      <c r="H349" t="s">
        <v>26</v>
      </c>
      <c r="I349" s="1">
        <v>5983887.6399999997</v>
      </c>
      <c r="J349" s="1">
        <v>5983887.6399999997</v>
      </c>
      <c r="K349" s="1">
        <v>5983887.6399999997</v>
      </c>
    </row>
    <row r="350" spans="1:11" x14ac:dyDescent="0.25">
      <c r="A350">
        <v>2023</v>
      </c>
      <c r="B350">
        <v>7</v>
      </c>
      <c r="C350" t="s">
        <v>439</v>
      </c>
      <c r="D350" t="s">
        <v>431</v>
      </c>
      <c r="E350" t="s">
        <v>432</v>
      </c>
      <c r="F350" t="s">
        <v>14</v>
      </c>
      <c r="G350" t="s">
        <v>97</v>
      </c>
      <c r="H350" t="s">
        <v>55</v>
      </c>
      <c r="I350" s="1">
        <v>6023862.4000000004</v>
      </c>
      <c r="J350">
        <v>0</v>
      </c>
      <c r="K350">
        <v>0</v>
      </c>
    </row>
    <row r="351" spans="1:11" x14ac:dyDescent="0.25">
      <c r="A351">
        <v>2023</v>
      </c>
      <c r="B351">
        <v>7</v>
      </c>
      <c r="C351" t="s">
        <v>440</v>
      </c>
      <c r="D351" t="s">
        <v>431</v>
      </c>
      <c r="E351" t="s">
        <v>432</v>
      </c>
      <c r="F351" t="s">
        <v>107</v>
      </c>
      <c r="G351" t="s">
        <v>97</v>
      </c>
      <c r="H351" t="s">
        <v>16</v>
      </c>
      <c r="I351" s="1">
        <v>253109.9</v>
      </c>
      <c r="J351" s="1">
        <v>320808.82</v>
      </c>
      <c r="K351" s="1">
        <v>4101900.97</v>
      </c>
    </row>
    <row r="352" spans="1:11" x14ac:dyDescent="0.25">
      <c r="A352">
        <v>2023</v>
      </c>
      <c r="B352">
        <v>7</v>
      </c>
      <c r="C352" t="s">
        <v>441</v>
      </c>
      <c r="D352" t="s">
        <v>431</v>
      </c>
      <c r="E352" t="s">
        <v>432</v>
      </c>
      <c r="F352" t="s">
        <v>107</v>
      </c>
      <c r="G352" t="s">
        <v>97</v>
      </c>
      <c r="H352" t="s">
        <v>104</v>
      </c>
      <c r="I352" s="1">
        <v>2374000</v>
      </c>
      <c r="J352">
        <v>0</v>
      </c>
      <c r="K352">
        <v>0</v>
      </c>
    </row>
    <row r="353" spans="1:11" x14ac:dyDescent="0.25">
      <c r="A353">
        <v>2023</v>
      </c>
      <c r="B353">
        <v>7</v>
      </c>
      <c r="C353" t="s">
        <v>442</v>
      </c>
      <c r="D353" t="s">
        <v>431</v>
      </c>
      <c r="E353" t="s">
        <v>432</v>
      </c>
      <c r="F353" t="s">
        <v>14</v>
      </c>
      <c r="G353" t="s">
        <v>42</v>
      </c>
      <c r="H353" t="s">
        <v>16</v>
      </c>
      <c r="I353">
        <v>0</v>
      </c>
      <c r="J353" s="1">
        <v>432349.42</v>
      </c>
      <c r="K353">
        <v>0</v>
      </c>
    </row>
    <row r="354" spans="1:11" x14ac:dyDescent="0.25">
      <c r="A354">
        <v>2023</v>
      </c>
      <c r="B354">
        <v>7</v>
      </c>
      <c r="C354" t="s">
        <v>443</v>
      </c>
      <c r="D354" t="s">
        <v>431</v>
      </c>
      <c r="E354" t="s">
        <v>432</v>
      </c>
      <c r="F354" t="s">
        <v>14</v>
      </c>
      <c r="G354" t="s">
        <v>444</v>
      </c>
      <c r="H354" t="s">
        <v>55</v>
      </c>
      <c r="I354">
        <v>0</v>
      </c>
      <c r="J354" s="1">
        <v>125676.18</v>
      </c>
      <c r="K354">
        <v>0</v>
      </c>
    </row>
    <row r="355" spans="1:11" x14ac:dyDescent="0.25">
      <c r="A355">
        <v>2023</v>
      </c>
      <c r="B355">
        <v>7</v>
      </c>
      <c r="C355" t="s">
        <v>445</v>
      </c>
      <c r="D355" t="s">
        <v>431</v>
      </c>
      <c r="E355" t="s">
        <v>432</v>
      </c>
      <c r="F355" t="s">
        <v>14</v>
      </c>
      <c r="G355" t="s">
        <v>24</v>
      </c>
      <c r="H355" t="s">
        <v>55</v>
      </c>
      <c r="I355" s="1">
        <v>1428</v>
      </c>
      <c r="J355" s="1">
        <v>33095.660000000003</v>
      </c>
      <c r="K355" s="1">
        <v>27500</v>
      </c>
    </row>
    <row r="356" spans="1:11" x14ac:dyDescent="0.25">
      <c r="A356">
        <v>2023</v>
      </c>
      <c r="B356">
        <v>7</v>
      </c>
      <c r="C356" t="s">
        <v>446</v>
      </c>
      <c r="D356" t="s">
        <v>431</v>
      </c>
      <c r="E356" t="s">
        <v>432</v>
      </c>
      <c r="F356" t="s">
        <v>14</v>
      </c>
      <c r="G356" t="s">
        <v>31</v>
      </c>
      <c r="H356" t="s">
        <v>55</v>
      </c>
      <c r="I356" s="1">
        <v>1895700</v>
      </c>
      <c r="J356" s="1">
        <v>2037448.93</v>
      </c>
      <c r="K356" s="1">
        <v>2182416.92</v>
      </c>
    </row>
    <row r="357" spans="1:11" x14ac:dyDescent="0.25">
      <c r="A357">
        <v>2023</v>
      </c>
      <c r="B357">
        <v>7</v>
      </c>
      <c r="C357" t="s">
        <v>447</v>
      </c>
      <c r="D357" t="s">
        <v>431</v>
      </c>
      <c r="E357" t="s">
        <v>432</v>
      </c>
      <c r="F357" t="s">
        <v>14</v>
      </c>
      <c r="G357" t="s">
        <v>31</v>
      </c>
      <c r="H357" t="s">
        <v>55</v>
      </c>
      <c r="I357">
        <v>0</v>
      </c>
      <c r="J357" s="1">
        <v>11581.84</v>
      </c>
      <c r="K357" s="1">
        <v>12434.86</v>
      </c>
    </row>
    <row r="358" spans="1:11" x14ac:dyDescent="0.25">
      <c r="A358">
        <v>2023</v>
      </c>
      <c r="B358">
        <v>7</v>
      </c>
      <c r="C358" t="s">
        <v>448</v>
      </c>
      <c r="D358" t="s">
        <v>431</v>
      </c>
      <c r="E358" t="s">
        <v>432</v>
      </c>
      <c r="F358" t="s">
        <v>14</v>
      </c>
      <c r="G358" t="s">
        <v>31</v>
      </c>
      <c r="H358" t="s">
        <v>48</v>
      </c>
      <c r="I358">
        <v>0</v>
      </c>
      <c r="J358" s="1">
        <v>582661.48</v>
      </c>
      <c r="K358" s="1">
        <v>582661.48</v>
      </c>
    </row>
    <row r="359" spans="1:11" x14ac:dyDescent="0.25">
      <c r="A359">
        <v>2023</v>
      </c>
      <c r="B359">
        <v>7</v>
      </c>
      <c r="C359" t="s">
        <v>449</v>
      </c>
      <c r="D359" t="s">
        <v>431</v>
      </c>
      <c r="E359" t="s">
        <v>432</v>
      </c>
      <c r="F359" t="s">
        <v>14</v>
      </c>
      <c r="G359" t="s">
        <v>101</v>
      </c>
      <c r="H359" t="s">
        <v>55</v>
      </c>
      <c r="I359">
        <v>234.78</v>
      </c>
      <c r="J359">
        <v>234.78</v>
      </c>
      <c r="K359">
        <v>234.78</v>
      </c>
    </row>
    <row r="360" spans="1:11" x14ac:dyDescent="0.25">
      <c r="A360">
        <v>2023</v>
      </c>
      <c r="B360">
        <v>7</v>
      </c>
      <c r="C360" t="s">
        <v>450</v>
      </c>
      <c r="D360" t="s">
        <v>431</v>
      </c>
      <c r="E360" t="s">
        <v>432</v>
      </c>
      <c r="F360" t="s">
        <v>14</v>
      </c>
      <c r="G360" t="s">
        <v>97</v>
      </c>
      <c r="H360" t="s">
        <v>55</v>
      </c>
      <c r="I360" s="1">
        <v>2436224.6</v>
      </c>
      <c r="J360" s="1">
        <v>60233.33</v>
      </c>
      <c r="K360" s="1">
        <v>294131.62</v>
      </c>
    </row>
    <row r="361" spans="1:11" x14ac:dyDescent="0.25">
      <c r="A361">
        <v>2023</v>
      </c>
      <c r="B361">
        <v>7</v>
      </c>
      <c r="C361" t="s">
        <v>451</v>
      </c>
      <c r="D361" t="s">
        <v>431</v>
      </c>
      <c r="E361" t="s">
        <v>432</v>
      </c>
      <c r="F361" t="s">
        <v>14</v>
      </c>
      <c r="G361" t="s">
        <v>97</v>
      </c>
      <c r="H361" t="s">
        <v>48</v>
      </c>
      <c r="I361">
        <v>0</v>
      </c>
      <c r="J361" s="1">
        <v>1299699.1499999999</v>
      </c>
      <c r="K361" s="1">
        <v>2491983.5699999998</v>
      </c>
    </row>
    <row r="362" spans="1:11" x14ac:dyDescent="0.25">
      <c r="A362">
        <v>2023</v>
      </c>
      <c r="B362">
        <v>7</v>
      </c>
      <c r="C362" t="s">
        <v>452</v>
      </c>
      <c r="D362" t="s">
        <v>431</v>
      </c>
      <c r="E362" t="s">
        <v>432</v>
      </c>
      <c r="F362" t="s">
        <v>14</v>
      </c>
      <c r="G362" t="s">
        <v>42</v>
      </c>
      <c r="H362" t="s">
        <v>55</v>
      </c>
      <c r="I362">
        <v>0</v>
      </c>
      <c r="J362">
        <v>0</v>
      </c>
      <c r="K362" s="1">
        <v>5654.72</v>
      </c>
    </row>
    <row r="363" spans="1:11" x14ac:dyDescent="0.25">
      <c r="A363">
        <v>2023</v>
      </c>
      <c r="B363">
        <v>7</v>
      </c>
      <c r="C363" t="s">
        <v>453</v>
      </c>
      <c r="D363" t="s">
        <v>454</v>
      </c>
      <c r="E363" t="s">
        <v>13</v>
      </c>
      <c r="F363" t="s">
        <v>14</v>
      </c>
      <c r="G363" t="s">
        <v>15</v>
      </c>
      <c r="H363" t="s">
        <v>16</v>
      </c>
      <c r="I363" s="1">
        <v>190452.76</v>
      </c>
      <c r="J363" s="1">
        <v>190452.76</v>
      </c>
      <c r="K363" s="1">
        <v>190452.76</v>
      </c>
    </row>
    <row r="364" spans="1:11" x14ac:dyDescent="0.25">
      <c r="A364">
        <v>2023</v>
      </c>
      <c r="B364">
        <v>7</v>
      </c>
      <c r="C364" t="s">
        <v>455</v>
      </c>
      <c r="D364" t="s">
        <v>454</v>
      </c>
      <c r="E364" t="s">
        <v>456</v>
      </c>
      <c r="F364" t="s">
        <v>457</v>
      </c>
      <c r="G364" t="s">
        <v>20</v>
      </c>
      <c r="H364" t="s">
        <v>16</v>
      </c>
      <c r="I364" s="1">
        <v>1185000</v>
      </c>
      <c r="J364" s="1">
        <v>3920000</v>
      </c>
      <c r="K364" s="1">
        <v>3920000</v>
      </c>
    </row>
    <row r="365" spans="1:11" x14ac:dyDescent="0.25">
      <c r="A365">
        <v>2023</v>
      </c>
      <c r="B365">
        <v>7</v>
      </c>
      <c r="C365" t="s">
        <v>458</v>
      </c>
      <c r="D365" t="s">
        <v>454</v>
      </c>
      <c r="E365" t="s">
        <v>456</v>
      </c>
      <c r="F365" t="s">
        <v>457</v>
      </c>
      <c r="G365" t="s">
        <v>20</v>
      </c>
      <c r="H365" t="s">
        <v>26</v>
      </c>
      <c r="I365" s="1">
        <v>1885000</v>
      </c>
      <c r="J365">
        <v>0</v>
      </c>
      <c r="K365">
        <v>0</v>
      </c>
    </row>
    <row r="366" spans="1:11" x14ac:dyDescent="0.25">
      <c r="A366">
        <v>2023</v>
      </c>
      <c r="B366">
        <v>7</v>
      </c>
      <c r="C366" t="s">
        <v>459</v>
      </c>
      <c r="D366" t="s">
        <v>454</v>
      </c>
      <c r="E366" t="s">
        <v>13</v>
      </c>
      <c r="F366" t="s">
        <v>14</v>
      </c>
      <c r="G366" t="s">
        <v>24</v>
      </c>
      <c r="H366" t="s">
        <v>16</v>
      </c>
      <c r="I366" s="1">
        <v>1642.88</v>
      </c>
      <c r="J366" s="1">
        <v>1197.3800000000001</v>
      </c>
      <c r="K366" s="1">
        <v>3315.78</v>
      </c>
    </row>
    <row r="367" spans="1:11" x14ac:dyDescent="0.25">
      <c r="A367">
        <v>2023</v>
      </c>
      <c r="B367">
        <v>7</v>
      </c>
      <c r="C367" t="s">
        <v>460</v>
      </c>
      <c r="D367" t="s">
        <v>454</v>
      </c>
      <c r="E367" t="s">
        <v>13</v>
      </c>
      <c r="F367" t="s">
        <v>14</v>
      </c>
      <c r="G367" t="s">
        <v>28</v>
      </c>
      <c r="H367" t="s">
        <v>16</v>
      </c>
      <c r="I367" s="1">
        <v>17651.16</v>
      </c>
      <c r="J367" s="1">
        <v>17651.16</v>
      </c>
      <c r="K367" s="1">
        <v>17651.16</v>
      </c>
    </row>
    <row r="368" spans="1:11" x14ac:dyDescent="0.25">
      <c r="A368">
        <v>2023</v>
      </c>
      <c r="B368">
        <v>7</v>
      </c>
      <c r="C368" t="s">
        <v>461</v>
      </c>
      <c r="D368" t="s">
        <v>454</v>
      </c>
      <c r="E368" t="s">
        <v>13</v>
      </c>
      <c r="F368" t="s">
        <v>14</v>
      </c>
      <c r="G368" t="s">
        <v>31</v>
      </c>
      <c r="H368" t="s">
        <v>16</v>
      </c>
      <c r="I368" s="1">
        <v>9348.9500000000007</v>
      </c>
      <c r="J368" s="1">
        <v>64777.84</v>
      </c>
      <c r="K368" s="1">
        <v>320942.08000000002</v>
      </c>
    </row>
    <row r="369" spans="1:11" x14ac:dyDescent="0.25">
      <c r="A369">
        <v>2023</v>
      </c>
      <c r="B369">
        <v>7</v>
      </c>
      <c r="C369" t="s">
        <v>462</v>
      </c>
      <c r="D369" t="s">
        <v>454</v>
      </c>
      <c r="E369" t="s">
        <v>463</v>
      </c>
      <c r="F369" t="s">
        <v>464</v>
      </c>
      <c r="G369" t="s">
        <v>31</v>
      </c>
      <c r="H369" t="s">
        <v>16</v>
      </c>
      <c r="I369">
        <v>0</v>
      </c>
      <c r="J369">
        <v>0</v>
      </c>
      <c r="K369" s="1">
        <v>1900</v>
      </c>
    </row>
    <row r="370" spans="1:11" x14ac:dyDescent="0.25">
      <c r="A370">
        <v>2023</v>
      </c>
      <c r="B370">
        <v>7</v>
      </c>
      <c r="C370" t="s">
        <v>465</v>
      </c>
      <c r="D370" t="s">
        <v>454</v>
      </c>
      <c r="E370" t="s">
        <v>463</v>
      </c>
      <c r="F370" t="s">
        <v>464</v>
      </c>
      <c r="G370" t="s">
        <v>31</v>
      </c>
      <c r="H370" t="s">
        <v>16</v>
      </c>
      <c r="I370" s="1">
        <v>48706</v>
      </c>
      <c r="J370" s="1">
        <v>80102.850000000006</v>
      </c>
      <c r="K370" s="1">
        <v>66482.509999999995</v>
      </c>
    </row>
    <row r="371" spans="1:11" x14ac:dyDescent="0.25">
      <c r="A371">
        <v>2023</v>
      </c>
      <c r="B371">
        <v>7</v>
      </c>
      <c r="C371" t="s">
        <v>466</v>
      </c>
      <c r="D371" t="s">
        <v>454</v>
      </c>
      <c r="E371" t="s">
        <v>456</v>
      </c>
      <c r="F371" t="s">
        <v>467</v>
      </c>
      <c r="G371" t="s">
        <v>31</v>
      </c>
      <c r="H371" t="s">
        <v>16</v>
      </c>
      <c r="I371" s="1">
        <v>30187.66</v>
      </c>
      <c r="J371" s="1">
        <v>14445.48</v>
      </c>
      <c r="K371" s="1">
        <v>22332.639999999999</v>
      </c>
    </row>
    <row r="372" spans="1:11" x14ac:dyDescent="0.25">
      <c r="A372">
        <v>2023</v>
      </c>
      <c r="B372">
        <v>7</v>
      </c>
      <c r="C372" t="s">
        <v>468</v>
      </c>
      <c r="D372" t="s">
        <v>454</v>
      </c>
      <c r="E372" t="s">
        <v>469</v>
      </c>
      <c r="F372" t="s">
        <v>470</v>
      </c>
      <c r="G372" t="s">
        <v>31</v>
      </c>
      <c r="H372" t="s">
        <v>16</v>
      </c>
      <c r="I372" s="1">
        <v>3915.6</v>
      </c>
      <c r="J372" s="1">
        <v>39836.239999999998</v>
      </c>
      <c r="K372" s="1">
        <v>32402.639999999999</v>
      </c>
    </row>
    <row r="373" spans="1:11" x14ac:dyDescent="0.25">
      <c r="A373">
        <v>2023</v>
      </c>
      <c r="B373">
        <v>7</v>
      </c>
      <c r="C373" t="s">
        <v>471</v>
      </c>
      <c r="D373" t="s">
        <v>454</v>
      </c>
      <c r="E373" t="s">
        <v>469</v>
      </c>
      <c r="F373" t="s">
        <v>470</v>
      </c>
      <c r="G373" t="s">
        <v>42</v>
      </c>
      <c r="H373" t="s">
        <v>16</v>
      </c>
      <c r="I373">
        <v>0</v>
      </c>
      <c r="J373" s="1">
        <v>1000</v>
      </c>
      <c r="K373" s="1">
        <v>4924.84</v>
      </c>
    </row>
    <row r="374" spans="1:11" x14ac:dyDescent="0.25">
      <c r="A374">
        <v>2023</v>
      </c>
      <c r="B374">
        <v>7</v>
      </c>
      <c r="C374" t="s">
        <v>472</v>
      </c>
      <c r="D374" t="s">
        <v>473</v>
      </c>
      <c r="E374" t="s">
        <v>474</v>
      </c>
      <c r="F374" t="s">
        <v>475</v>
      </c>
      <c r="G374" t="s">
        <v>15</v>
      </c>
      <c r="H374" t="s">
        <v>16</v>
      </c>
      <c r="I374" s="1">
        <v>3056328.54</v>
      </c>
      <c r="J374" s="1">
        <v>3056328.54</v>
      </c>
      <c r="K374" s="1">
        <v>3056976.54</v>
      </c>
    </row>
    <row r="375" spans="1:11" x14ac:dyDescent="0.25">
      <c r="A375">
        <v>2023</v>
      </c>
      <c r="B375">
        <v>7</v>
      </c>
      <c r="C375" t="s">
        <v>476</v>
      </c>
      <c r="D375" t="s">
        <v>473</v>
      </c>
      <c r="E375" t="s">
        <v>474</v>
      </c>
      <c r="F375" t="s">
        <v>475</v>
      </c>
      <c r="G375" t="s">
        <v>15</v>
      </c>
      <c r="H375" t="s">
        <v>358</v>
      </c>
      <c r="I375" s="1">
        <v>9660</v>
      </c>
      <c r="J375" s="1">
        <v>9660</v>
      </c>
      <c r="K375" s="1">
        <v>9660</v>
      </c>
    </row>
    <row r="376" spans="1:11" x14ac:dyDescent="0.25">
      <c r="A376">
        <v>2023</v>
      </c>
      <c r="B376">
        <v>7</v>
      </c>
      <c r="C376" t="s">
        <v>477</v>
      </c>
      <c r="D376" t="s">
        <v>473</v>
      </c>
      <c r="E376" t="s">
        <v>474</v>
      </c>
      <c r="F376" t="s">
        <v>475</v>
      </c>
      <c r="G376" t="s">
        <v>343</v>
      </c>
      <c r="H376" t="s">
        <v>16</v>
      </c>
      <c r="I376" s="1">
        <v>331148.42</v>
      </c>
      <c r="J376" s="1">
        <v>331148.42</v>
      </c>
      <c r="K376" s="1">
        <v>331148.42</v>
      </c>
    </row>
    <row r="377" spans="1:11" x14ac:dyDescent="0.25">
      <c r="A377">
        <v>2023</v>
      </c>
      <c r="B377">
        <v>7</v>
      </c>
      <c r="C377" t="s">
        <v>478</v>
      </c>
      <c r="D377" t="s">
        <v>473</v>
      </c>
      <c r="E377" t="s">
        <v>474</v>
      </c>
      <c r="F377" t="s">
        <v>475</v>
      </c>
      <c r="G377" t="s">
        <v>22</v>
      </c>
      <c r="H377" t="s">
        <v>16</v>
      </c>
      <c r="I377">
        <v>835</v>
      </c>
      <c r="J377">
        <v>835</v>
      </c>
      <c r="K377">
        <v>835</v>
      </c>
    </row>
    <row r="378" spans="1:11" x14ac:dyDescent="0.25">
      <c r="A378">
        <v>2023</v>
      </c>
      <c r="B378">
        <v>7</v>
      </c>
      <c r="C378" t="s">
        <v>479</v>
      </c>
      <c r="D378" t="s">
        <v>473</v>
      </c>
      <c r="E378" t="s">
        <v>474</v>
      </c>
      <c r="F378" t="s">
        <v>475</v>
      </c>
      <c r="G378" t="s">
        <v>24</v>
      </c>
      <c r="H378" t="s">
        <v>16</v>
      </c>
      <c r="I378" s="1">
        <v>3610.86</v>
      </c>
      <c r="J378" s="1">
        <v>3610.86</v>
      </c>
      <c r="K378" s="1">
        <v>4610.8599999999997</v>
      </c>
    </row>
    <row r="379" spans="1:11" x14ac:dyDescent="0.25">
      <c r="A379">
        <v>2023</v>
      </c>
      <c r="B379">
        <v>7</v>
      </c>
      <c r="C379" t="s">
        <v>480</v>
      </c>
      <c r="D379" t="s">
        <v>473</v>
      </c>
      <c r="E379" t="s">
        <v>474</v>
      </c>
      <c r="F379" t="s">
        <v>475</v>
      </c>
      <c r="G379" t="s">
        <v>24</v>
      </c>
      <c r="H379" t="s">
        <v>16</v>
      </c>
      <c r="I379">
        <v>0</v>
      </c>
      <c r="J379" s="1">
        <v>23086.42</v>
      </c>
      <c r="K379" s="1">
        <v>24591.97</v>
      </c>
    </row>
    <row r="380" spans="1:11" x14ac:dyDescent="0.25">
      <c r="A380">
        <v>2023</v>
      </c>
      <c r="B380">
        <v>7</v>
      </c>
      <c r="C380" t="s">
        <v>481</v>
      </c>
      <c r="D380" t="s">
        <v>473</v>
      </c>
      <c r="E380" t="s">
        <v>474</v>
      </c>
      <c r="F380" t="s">
        <v>475</v>
      </c>
      <c r="G380" t="s">
        <v>24</v>
      </c>
      <c r="H380" t="s">
        <v>26</v>
      </c>
      <c r="I380" s="1">
        <v>9571.26</v>
      </c>
      <c r="J380" s="1">
        <v>9946.3799999999992</v>
      </c>
      <c r="K380" s="1">
        <v>1824.78</v>
      </c>
    </row>
    <row r="381" spans="1:11" x14ac:dyDescent="0.25">
      <c r="A381">
        <v>2023</v>
      </c>
      <c r="B381">
        <v>7</v>
      </c>
      <c r="C381" t="s">
        <v>482</v>
      </c>
      <c r="D381" t="s">
        <v>473</v>
      </c>
      <c r="E381" t="s">
        <v>474</v>
      </c>
      <c r="F381" t="s">
        <v>475</v>
      </c>
      <c r="G381" t="s">
        <v>28</v>
      </c>
      <c r="H381" t="s">
        <v>16</v>
      </c>
      <c r="I381" s="1">
        <v>9922.27</v>
      </c>
      <c r="J381" s="1">
        <v>9922.27</v>
      </c>
      <c r="K381" s="1">
        <v>9922.27</v>
      </c>
    </row>
    <row r="382" spans="1:11" x14ac:dyDescent="0.25">
      <c r="A382">
        <v>2023</v>
      </c>
      <c r="B382">
        <v>7</v>
      </c>
      <c r="C382" t="s">
        <v>483</v>
      </c>
      <c r="D382" t="s">
        <v>473</v>
      </c>
      <c r="E382" t="s">
        <v>474</v>
      </c>
      <c r="F382" t="s">
        <v>475</v>
      </c>
      <c r="G382" t="s">
        <v>28</v>
      </c>
      <c r="H382" t="s">
        <v>16</v>
      </c>
      <c r="I382">
        <v>0</v>
      </c>
      <c r="J382" s="1">
        <v>4400</v>
      </c>
      <c r="K382" s="1">
        <v>4400</v>
      </c>
    </row>
    <row r="383" spans="1:11" x14ac:dyDescent="0.25">
      <c r="A383">
        <v>2023</v>
      </c>
      <c r="B383">
        <v>7</v>
      </c>
      <c r="C383" t="s">
        <v>484</v>
      </c>
      <c r="D383" t="s">
        <v>473</v>
      </c>
      <c r="E383" t="s">
        <v>474</v>
      </c>
      <c r="F383" t="s">
        <v>475</v>
      </c>
      <c r="G383" t="s">
        <v>31</v>
      </c>
      <c r="H383" t="s">
        <v>16</v>
      </c>
      <c r="I383" s="1">
        <v>1194.2</v>
      </c>
      <c r="J383" s="1">
        <v>1194.2</v>
      </c>
      <c r="K383" s="1">
        <v>2744.2</v>
      </c>
    </row>
    <row r="384" spans="1:11" x14ac:dyDescent="0.25">
      <c r="A384">
        <v>2023</v>
      </c>
      <c r="B384">
        <v>7</v>
      </c>
      <c r="C384" t="s">
        <v>485</v>
      </c>
      <c r="D384" t="s">
        <v>473</v>
      </c>
      <c r="E384" t="s">
        <v>474</v>
      </c>
      <c r="F384" t="s">
        <v>475</v>
      </c>
      <c r="G384" t="s">
        <v>31</v>
      </c>
      <c r="H384" t="s">
        <v>16</v>
      </c>
      <c r="I384" s="1">
        <v>-2109.7600000000002</v>
      </c>
      <c r="J384" s="1">
        <v>428723.32</v>
      </c>
      <c r="K384" s="1">
        <v>462740.72</v>
      </c>
    </row>
    <row r="385" spans="1:11" x14ac:dyDescent="0.25">
      <c r="A385">
        <v>2023</v>
      </c>
      <c r="B385">
        <v>7</v>
      </c>
      <c r="C385" t="s">
        <v>486</v>
      </c>
      <c r="D385" t="s">
        <v>473</v>
      </c>
      <c r="E385" t="s">
        <v>474</v>
      </c>
      <c r="F385" t="s">
        <v>475</v>
      </c>
      <c r="G385" t="s">
        <v>31</v>
      </c>
      <c r="H385" t="s">
        <v>26</v>
      </c>
      <c r="I385" s="1">
        <v>11227.9</v>
      </c>
      <c r="J385" s="1">
        <v>574454.05000000005</v>
      </c>
      <c r="K385" s="1">
        <v>177785.35</v>
      </c>
    </row>
    <row r="386" spans="1:11" x14ac:dyDescent="0.25">
      <c r="A386">
        <v>2023</v>
      </c>
      <c r="B386">
        <v>7</v>
      </c>
      <c r="C386" t="s">
        <v>487</v>
      </c>
      <c r="D386" t="s">
        <v>488</v>
      </c>
      <c r="E386" t="s">
        <v>489</v>
      </c>
      <c r="F386" t="s">
        <v>490</v>
      </c>
      <c r="G386" t="s">
        <v>491</v>
      </c>
      <c r="H386" t="s">
        <v>16</v>
      </c>
      <c r="I386">
        <v>20</v>
      </c>
      <c r="J386">
        <v>20</v>
      </c>
      <c r="K386">
        <v>355.87</v>
      </c>
    </row>
    <row r="387" spans="1:11" x14ac:dyDescent="0.25">
      <c r="A387">
        <v>2023</v>
      </c>
      <c r="B387">
        <v>7</v>
      </c>
      <c r="C387" t="s">
        <v>492</v>
      </c>
      <c r="D387" t="s">
        <v>488</v>
      </c>
      <c r="E387" t="s">
        <v>13</v>
      </c>
      <c r="F387" t="s">
        <v>14</v>
      </c>
      <c r="G387" t="s">
        <v>15</v>
      </c>
      <c r="H387" t="s">
        <v>16</v>
      </c>
      <c r="I387" s="1">
        <v>1476781.57</v>
      </c>
      <c r="J387" s="1">
        <v>1476781.57</v>
      </c>
      <c r="K387" s="1">
        <v>1631581.11</v>
      </c>
    </row>
    <row r="388" spans="1:11" x14ac:dyDescent="0.25">
      <c r="A388">
        <v>2023</v>
      </c>
      <c r="B388">
        <v>7</v>
      </c>
      <c r="C388" t="s">
        <v>493</v>
      </c>
      <c r="D388" t="s">
        <v>488</v>
      </c>
      <c r="E388" t="s">
        <v>489</v>
      </c>
      <c r="F388" t="s">
        <v>490</v>
      </c>
      <c r="G388" t="s">
        <v>133</v>
      </c>
      <c r="H388" t="s">
        <v>16</v>
      </c>
      <c r="I388" s="1">
        <v>512977.48</v>
      </c>
      <c r="J388" s="1">
        <v>512977.48</v>
      </c>
      <c r="K388" s="1">
        <v>512977.48</v>
      </c>
    </row>
    <row r="389" spans="1:11" x14ac:dyDescent="0.25">
      <c r="A389">
        <v>2023</v>
      </c>
      <c r="B389">
        <v>7</v>
      </c>
      <c r="C389" t="s">
        <v>494</v>
      </c>
      <c r="D389" t="s">
        <v>488</v>
      </c>
      <c r="E389" t="s">
        <v>13</v>
      </c>
      <c r="F389" t="s">
        <v>14</v>
      </c>
      <c r="G389" t="s">
        <v>137</v>
      </c>
      <c r="H389" t="s">
        <v>16</v>
      </c>
      <c r="I389" s="1">
        <v>482994.73</v>
      </c>
      <c r="J389" s="1">
        <v>482994.73</v>
      </c>
      <c r="K389" s="1">
        <v>482994.73</v>
      </c>
    </row>
    <row r="390" spans="1:11" x14ac:dyDescent="0.25">
      <c r="A390">
        <v>2023</v>
      </c>
      <c r="B390">
        <v>7</v>
      </c>
      <c r="C390" t="s">
        <v>495</v>
      </c>
      <c r="D390" t="s">
        <v>488</v>
      </c>
      <c r="E390" t="s">
        <v>13</v>
      </c>
      <c r="F390" t="s">
        <v>14</v>
      </c>
      <c r="G390" t="s">
        <v>496</v>
      </c>
      <c r="H390" t="s">
        <v>16</v>
      </c>
      <c r="I390" s="1">
        <v>362411.43</v>
      </c>
      <c r="J390" s="1">
        <v>362411.43</v>
      </c>
      <c r="K390" s="1">
        <v>362411.43</v>
      </c>
    </row>
    <row r="391" spans="1:11" x14ac:dyDescent="0.25">
      <c r="A391">
        <v>2023</v>
      </c>
      <c r="B391">
        <v>7</v>
      </c>
      <c r="C391" t="s">
        <v>497</v>
      </c>
      <c r="D391" t="s">
        <v>488</v>
      </c>
      <c r="E391" t="s">
        <v>13</v>
      </c>
      <c r="F391" t="s">
        <v>14</v>
      </c>
      <c r="G391" t="s">
        <v>248</v>
      </c>
      <c r="H391" t="s">
        <v>16</v>
      </c>
      <c r="I391" s="1">
        <v>443322.75</v>
      </c>
      <c r="J391" s="1">
        <v>443322.75</v>
      </c>
      <c r="K391" s="1">
        <v>379669.67</v>
      </c>
    </row>
    <row r="392" spans="1:11" x14ac:dyDescent="0.25">
      <c r="A392">
        <v>2023</v>
      </c>
      <c r="B392">
        <v>7</v>
      </c>
      <c r="C392" t="s">
        <v>498</v>
      </c>
      <c r="D392" t="s">
        <v>488</v>
      </c>
      <c r="E392" t="s">
        <v>489</v>
      </c>
      <c r="F392" t="s">
        <v>490</v>
      </c>
      <c r="G392" t="s">
        <v>133</v>
      </c>
      <c r="H392" t="s">
        <v>16</v>
      </c>
      <c r="I392" s="1">
        <v>2174537.38</v>
      </c>
      <c r="J392" s="1">
        <v>2174537.38</v>
      </c>
      <c r="K392" s="1">
        <v>2174537.38</v>
      </c>
    </row>
    <row r="393" spans="1:11" x14ac:dyDescent="0.25">
      <c r="A393">
        <v>2023</v>
      </c>
      <c r="B393">
        <v>7</v>
      </c>
      <c r="C393" t="s">
        <v>499</v>
      </c>
      <c r="D393" t="s">
        <v>488</v>
      </c>
      <c r="E393" t="s">
        <v>500</v>
      </c>
      <c r="F393" t="s">
        <v>501</v>
      </c>
      <c r="G393" t="s">
        <v>502</v>
      </c>
      <c r="H393" t="s">
        <v>16</v>
      </c>
      <c r="I393">
        <v>0</v>
      </c>
      <c r="J393" s="1">
        <v>509979.07</v>
      </c>
      <c r="K393" s="1">
        <v>510344.83</v>
      </c>
    </row>
    <row r="394" spans="1:11" x14ac:dyDescent="0.25">
      <c r="A394">
        <v>2023</v>
      </c>
      <c r="B394">
        <v>7</v>
      </c>
      <c r="C394" t="s">
        <v>503</v>
      </c>
      <c r="D394" t="s">
        <v>488</v>
      </c>
      <c r="E394" t="s">
        <v>500</v>
      </c>
      <c r="F394" t="s">
        <v>501</v>
      </c>
      <c r="G394" t="s">
        <v>502</v>
      </c>
      <c r="H394" t="s">
        <v>16</v>
      </c>
      <c r="I394" s="1">
        <v>-3002.25</v>
      </c>
      <c r="J394" s="1">
        <v>238106.82</v>
      </c>
      <c r="K394" s="1">
        <v>238106.82</v>
      </c>
    </row>
    <row r="395" spans="1:11" x14ac:dyDescent="0.25">
      <c r="A395">
        <v>2023</v>
      </c>
      <c r="B395">
        <v>7</v>
      </c>
      <c r="C395" t="s">
        <v>504</v>
      </c>
      <c r="D395" t="s">
        <v>488</v>
      </c>
      <c r="E395" t="s">
        <v>500</v>
      </c>
      <c r="F395" t="s">
        <v>501</v>
      </c>
      <c r="G395" t="s">
        <v>505</v>
      </c>
      <c r="H395" t="s">
        <v>16</v>
      </c>
      <c r="I395">
        <v>0</v>
      </c>
      <c r="J395" s="1">
        <v>796600.13</v>
      </c>
      <c r="K395" s="1">
        <v>796600.13</v>
      </c>
    </row>
    <row r="396" spans="1:11" x14ac:dyDescent="0.25">
      <c r="A396">
        <v>2023</v>
      </c>
      <c r="B396">
        <v>7</v>
      </c>
      <c r="C396" t="s">
        <v>506</v>
      </c>
      <c r="D396" t="s">
        <v>488</v>
      </c>
      <c r="E396" t="s">
        <v>13</v>
      </c>
      <c r="F396" t="s">
        <v>14</v>
      </c>
      <c r="G396" t="s">
        <v>148</v>
      </c>
      <c r="H396" t="s">
        <v>16</v>
      </c>
      <c r="I396" s="1">
        <v>42961.36</v>
      </c>
      <c r="J396" s="1">
        <v>42961.36</v>
      </c>
      <c r="K396" s="1">
        <v>42961.36</v>
      </c>
    </row>
    <row r="397" spans="1:11" x14ac:dyDescent="0.25">
      <c r="A397">
        <v>2023</v>
      </c>
      <c r="B397">
        <v>7</v>
      </c>
      <c r="C397" t="s">
        <v>507</v>
      </c>
      <c r="D397" t="s">
        <v>488</v>
      </c>
      <c r="E397" t="s">
        <v>13</v>
      </c>
      <c r="F397" t="s">
        <v>14</v>
      </c>
      <c r="G397" t="s">
        <v>31</v>
      </c>
      <c r="H397" t="s">
        <v>16</v>
      </c>
      <c r="I397" s="1">
        <v>-3044231.71</v>
      </c>
      <c r="J397" s="1">
        <v>1198008.56</v>
      </c>
      <c r="K397" s="1">
        <v>1220217.2</v>
      </c>
    </row>
    <row r="398" spans="1:11" x14ac:dyDescent="0.25">
      <c r="A398">
        <v>2023</v>
      </c>
      <c r="B398">
        <v>7</v>
      </c>
      <c r="C398" t="s">
        <v>508</v>
      </c>
      <c r="D398" t="s">
        <v>488</v>
      </c>
      <c r="E398" t="s">
        <v>13</v>
      </c>
      <c r="F398" t="s">
        <v>14</v>
      </c>
      <c r="G398" t="s">
        <v>31</v>
      </c>
      <c r="H398" t="s">
        <v>16</v>
      </c>
      <c r="I398" s="1">
        <v>391314.67</v>
      </c>
      <c r="J398" s="1">
        <v>343895.4</v>
      </c>
      <c r="K398" s="1">
        <v>226385.21</v>
      </c>
    </row>
    <row r="399" spans="1:11" x14ac:dyDescent="0.25">
      <c r="A399">
        <v>2023</v>
      </c>
      <c r="B399">
        <v>7</v>
      </c>
      <c r="C399" t="s">
        <v>509</v>
      </c>
      <c r="D399" t="s">
        <v>488</v>
      </c>
      <c r="E399" t="s">
        <v>13</v>
      </c>
      <c r="F399" t="s">
        <v>14</v>
      </c>
      <c r="G399" t="s">
        <v>211</v>
      </c>
      <c r="H399" t="s">
        <v>16</v>
      </c>
      <c r="I399" s="1">
        <v>765024.74</v>
      </c>
      <c r="J399" s="1">
        <v>765024.74</v>
      </c>
      <c r="K399" s="1">
        <v>765024.74</v>
      </c>
    </row>
    <row r="400" spans="1:11" x14ac:dyDescent="0.25">
      <c r="A400">
        <v>2023</v>
      </c>
      <c r="B400">
        <v>7</v>
      </c>
      <c r="C400" t="s">
        <v>510</v>
      </c>
      <c r="D400" t="s">
        <v>488</v>
      </c>
      <c r="E400" t="s">
        <v>13</v>
      </c>
      <c r="F400" t="s">
        <v>14</v>
      </c>
      <c r="G400" t="s">
        <v>511</v>
      </c>
      <c r="H400" t="s">
        <v>16</v>
      </c>
      <c r="I400" s="1">
        <v>2416676.6800000002</v>
      </c>
      <c r="J400" s="1">
        <v>2416676.6800000002</v>
      </c>
      <c r="K400" s="1">
        <v>2416676.6800000002</v>
      </c>
    </row>
    <row r="401" spans="1:11" x14ac:dyDescent="0.25">
      <c r="A401">
        <v>2023</v>
      </c>
      <c r="B401">
        <v>7</v>
      </c>
      <c r="C401" t="s">
        <v>512</v>
      </c>
      <c r="D401" t="s">
        <v>488</v>
      </c>
      <c r="E401" t="s">
        <v>13</v>
      </c>
      <c r="F401" t="s">
        <v>14</v>
      </c>
      <c r="G401" t="s">
        <v>496</v>
      </c>
      <c r="H401" t="s">
        <v>16</v>
      </c>
      <c r="I401" s="1">
        <v>57422.96</v>
      </c>
      <c r="J401" s="1">
        <v>57422.96</v>
      </c>
      <c r="K401" s="1">
        <v>57422.96</v>
      </c>
    </row>
    <row r="402" spans="1:11" x14ac:dyDescent="0.25">
      <c r="A402">
        <v>2023</v>
      </c>
      <c r="B402">
        <v>7</v>
      </c>
      <c r="C402" t="s">
        <v>513</v>
      </c>
      <c r="D402" t="s">
        <v>488</v>
      </c>
      <c r="E402" t="s">
        <v>13</v>
      </c>
      <c r="F402" t="s">
        <v>14</v>
      </c>
      <c r="G402" t="s">
        <v>101</v>
      </c>
      <c r="H402" t="s">
        <v>16</v>
      </c>
      <c r="I402" s="1">
        <v>17016.080000000002</v>
      </c>
      <c r="J402" s="1">
        <v>17016.080000000002</v>
      </c>
      <c r="K402" s="1">
        <v>85464.48</v>
      </c>
    </row>
    <row r="403" spans="1:11" x14ac:dyDescent="0.25">
      <c r="A403">
        <v>2023</v>
      </c>
      <c r="B403">
        <v>7</v>
      </c>
      <c r="C403" t="s">
        <v>514</v>
      </c>
      <c r="D403" t="s">
        <v>488</v>
      </c>
      <c r="E403" t="s">
        <v>13</v>
      </c>
      <c r="F403" t="s">
        <v>14</v>
      </c>
      <c r="G403" t="s">
        <v>101</v>
      </c>
      <c r="H403" t="s">
        <v>16</v>
      </c>
      <c r="I403" s="1">
        <v>687309.33</v>
      </c>
      <c r="J403" s="1">
        <v>687309.33</v>
      </c>
      <c r="K403" s="1">
        <v>681831.44</v>
      </c>
    </row>
    <row r="404" spans="1:11" x14ac:dyDescent="0.25">
      <c r="A404">
        <v>2023</v>
      </c>
      <c r="B404">
        <v>7</v>
      </c>
      <c r="C404" t="s">
        <v>515</v>
      </c>
      <c r="D404" t="s">
        <v>488</v>
      </c>
      <c r="E404" t="s">
        <v>489</v>
      </c>
      <c r="F404" t="s">
        <v>490</v>
      </c>
      <c r="G404" t="s">
        <v>516</v>
      </c>
      <c r="H404" t="s">
        <v>26</v>
      </c>
      <c r="I404" s="1">
        <v>5652756.54</v>
      </c>
      <c r="J404" s="1">
        <v>5652756.54</v>
      </c>
      <c r="K404">
        <v>0</v>
      </c>
    </row>
    <row r="405" spans="1:11" x14ac:dyDescent="0.25">
      <c r="A405">
        <v>2023</v>
      </c>
      <c r="B405">
        <v>7</v>
      </c>
      <c r="C405" t="s">
        <v>517</v>
      </c>
      <c r="D405" t="s">
        <v>488</v>
      </c>
      <c r="E405" t="s">
        <v>500</v>
      </c>
      <c r="F405" t="s">
        <v>501</v>
      </c>
      <c r="G405" t="s">
        <v>518</v>
      </c>
      <c r="H405" t="s">
        <v>16</v>
      </c>
      <c r="I405">
        <v>0</v>
      </c>
      <c r="J405" s="1">
        <v>989343.47</v>
      </c>
      <c r="K405" s="1">
        <v>988888.16</v>
      </c>
    </row>
    <row r="406" spans="1:11" x14ac:dyDescent="0.25">
      <c r="A406">
        <v>2023</v>
      </c>
      <c r="B406">
        <v>7</v>
      </c>
      <c r="C406" t="s">
        <v>519</v>
      </c>
      <c r="D406" t="s">
        <v>488</v>
      </c>
      <c r="E406" t="s">
        <v>500</v>
      </c>
      <c r="F406" t="s">
        <v>501</v>
      </c>
      <c r="G406" t="s">
        <v>518</v>
      </c>
      <c r="H406" t="s">
        <v>16</v>
      </c>
      <c r="I406">
        <v>54</v>
      </c>
      <c r="J406" s="1">
        <v>231032.95999999999</v>
      </c>
      <c r="K406" s="1">
        <v>231032.95999999999</v>
      </c>
    </row>
    <row r="407" spans="1:11" x14ac:dyDescent="0.25">
      <c r="A407">
        <v>2023</v>
      </c>
      <c r="B407">
        <v>7</v>
      </c>
      <c r="C407" t="s">
        <v>520</v>
      </c>
      <c r="D407" t="s">
        <v>488</v>
      </c>
      <c r="E407" t="s">
        <v>500</v>
      </c>
      <c r="F407" t="s">
        <v>501</v>
      </c>
      <c r="G407" t="s">
        <v>521</v>
      </c>
      <c r="H407" t="s">
        <v>16</v>
      </c>
      <c r="I407">
        <v>0</v>
      </c>
      <c r="J407" s="1">
        <v>1538064.72</v>
      </c>
      <c r="K407" s="1">
        <v>1538064.72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D21"/>
  <sheetViews>
    <sheetView topLeftCell="B1" zoomScale="84" zoomScaleNormal="84" workbookViewId="0">
      <selection activeCell="D3" sqref="D3"/>
    </sheetView>
  </sheetViews>
  <sheetFormatPr defaultRowHeight="15" x14ac:dyDescent="0.25"/>
  <cols>
    <col min="1" max="1" width="23.5703125" bestFit="1" customWidth="1"/>
    <col min="2" max="2" width="24" bestFit="1" customWidth="1"/>
    <col min="3" max="3" width="22.5703125" bestFit="1" customWidth="1"/>
    <col min="4" max="4" width="18" bestFit="1" customWidth="1"/>
  </cols>
  <sheetData>
    <row r="1" spans="1:4" x14ac:dyDescent="0.25">
      <c r="A1" s="2" t="s">
        <v>3</v>
      </c>
      <c r="B1" t="s">
        <v>527</v>
      </c>
    </row>
    <row r="3" spans="1:4" x14ac:dyDescent="0.25">
      <c r="A3" s="2" t="s">
        <v>522</v>
      </c>
      <c r="B3" t="s">
        <v>524</v>
      </c>
      <c r="C3" t="s">
        <v>525</v>
      </c>
      <c r="D3" t="s">
        <v>526</v>
      </c>
    </row>
    <row r="4" spans="1:4" x14ac:dyDescent="0.25">
      <c r="A4" s="3" t="s">
        <v>13</v>
      </c>
      <c r="B4" s="4">
        <v>18409559.099999998</v>
      </c>
      <c r="C4" s="4">
        <v>22715017.039999992</v>
      </c>
      <c r="D4" s="4">
        <v>22517181.130000003</v>
      </c>
    </row>
    <row r="5" spans="1:4" x14ac:dyDescent="0.25">
      <c r="A5" s="3" t="s">
        <v>286</v>
      </c>
      <c r="B5" s="4">
        <v>5298055.8900000006</v>
      </c>
      <c r="C5" s="4">
        <v>8053224.3400000008</v>
      </c>
      <c r="D5" s="4">
        <v>8160680.9500000011</v>
      </c>
    </row>
    <row r="6" spans="1:4" x14ac:dyDescent="0.25">
      <c r="A6" s="3" t="s">
        <v>456</v>
      </c>
      <c r="B6" s="4">
        <v>3100187.66</v>
      </c>
      <c r="C6" s="4">
        <v>3934445.48</v>
      </c>
      <c r="D6" s="4">
        <v>3942332.64</v>
      </c>
    </row>
    <row r="7" spans="1:4" x14ac:dyDescent="0.25">
      <c r="A7" s="3" t="s">
        <v>469</v>
      </c>
      <c r="B7" s="4">
        <v>3915.6</v>
      </c>
      <c r="C7" s="4">
        <v>40836.239999999998</v>
      </c>
      <c r="D7" s="4">
        <v>37327.479999999996</v>
      </c>
    </row>
    <row r="8" spans="1:4" x14ac:dyDescent="0.25">
      <c r="A8" s="3" t="s">
        <v>177</v>
      </c>
      <c r="B8" s="4">
        <v>3004.09</v>
      </c>
      <c r="C8" s="4">
        <v>1820</v>
      </c>
      <c r="D8" s="4">
        <v>1963.3200000000002</v>
      </c>
    </row>
    <row r="9" spans="1:4" x14ac:dyDescent="0.25">
      <c r="A9" s="3" t="s">
        <v>37</v>
      </c>
      <c r="B9" s="4">
        <v>2172360.08</v>
      </c>
      <c r="C9" s="4">
        <v>7478457.1600000001</v>
      </c>
      <c r="D9" s="4">
        <v>6970564.1799999997</v>
      </c>
    </row>
    <row r="10" spans="1:4" x14ac:dyDescent="0.25">
      <c r="A10" s="3" t="s">
        <v>50</v>
      </c>
      <c r="B10" s="4">
        <v>266104.25</v>
      </c>
      <c r="C10" s="4">
        <v>166743.21</v>
      </c>
      <c r="D10" s="4">
        <v>183073.91</v>
      </c>
    </row>
    <row r="11" spans="1:4" x14ac:dyDescent="0.25">
      <c r="A11" s="3" t="s">
        <v>126</v>
      </c>
      <c r="B11" s="4">
        <v>56334699.949999981</v>
      </c>
      <c r="C11" s="4">
        <v>91877379.590000063</v>
      </c>
      <c r="D11" s="4">
        <v>98337473.970000044</v>
      </c>
    </row>
    <row r="12" spans="1:4" x14ac:dyDescent="0.25">
      <c r="A12" s="3" t="s">
        <v>500</v>
      </c>
      <c r="B12" s="4">
        <v>-2948.25</v>
      </c>
      <c r="C12" s="4">
        <v>4303127.17</v>
      </c>
      <c r="D12" s="4">
        <v>4303037.62</v>
      </c>
    </row>
    <row r="13" spans="1:4" x14ac:dyDescent="0.25">
      <c r="A13" s="3" t="s">
        <v>79</v>
      </c>
      <c r="B13" s="4">
        <v>63860.639999999992</v>
      </c>
      <c r="C13" s="4">
        <v>353085.77</v>
      </c>
      <c r="D13" s="4">
        <v>132686.82999999999</v>
      </c>
    </row>
    <row r="14" spans="1:4" x14ac:dyDescent="0.25">
      <c r="A14" s="3" t="s">
        <v>489</v>
      </c>
      <c r="B14" s="4">
        <v>8340291.4000000004</v>
      </c>
      <c r="C14" s="4">
        <v>8340291.4000000004</v>
      </c>
      <c r="D14" s="4">
        <v>2687870.73</v>
      </c>
    </row>
    <row r="15" spans="1:4" x14ac:dyDescent="0.25">
      <c r="A15" s="3" t="s">
        <v>330</v>
      </c>
      <c r="B15" s="4">
        <v>0</v>
      </c>
      <c r="C15" s="4">
        <v>9012274.6199999992</v>
      </c>
      <c r="D15" s="4">
        <v>5559364.4699999997</v>
      </c>
    </row>
    <row r="16" spans="1:4" x14ac:dyDescent="0.25">
      <c r="A16" s="3" t="s">
        <v>337</v>
      </c>
      <c r="B16" s="4">
        <v>31121012.999999996</v>
      </c>
      <c r="C16" s="4">
        <v>83935135.100000009</v>
      </c>
      <c r="D16" s="4">
        <v>85493554.079999968</v>
      </c>
    </row>
    <row r="17" spans="1:4" x14ac:dyDescent="0.25">
      <c r="A17" s="3" t="s">
        <v>474</v>
      </c>
      <c r="B17" s="4">
        <v>3431388.69</v>
      </c>
      <c r="C17" s="4">
        <v>4453309.46</v>
      </c>
      <c r="D17" s="4">
        <v>4087240.11</v>
      </c>
    </row>
    <row r="18" spans="1:4" x14ac:dyDescent="0.25">
      <c r="A18" s="3" t="s">
        <v>463</v>
      </c>
      <c r="B18" s="4">
        <v>48706</v>
      </c>
      <c r="C18" s="4">
        <v>80102.850000000006</v>
      </c>
      <c r="D18" s="4">
        <v>68382.509999999995</v>
      </c>
    </row>
    <row r="19" spans="1:4" x14ac:dyDescent="0.25">
      <c r="A19" s="3" t="s">
        <v>432</v>
      </c>
      <c r="B19" s="4">
        <v>22505354.600000001</v>
      </c>
      <c r="C19" s="4">
        <v>14897988.949999999</v>
      </c>
      <c r="D19" s="4">
        <v>18755248.539999999</v>
      </c>
    </row>
    <row r="20" spans="1:4" x14ac:dyDescent="0.25">
      <c r="A20" s="3" t="s">
        <v>76</v>
      </c>
      <c r="B20" s="4">
        <v>5973301.9400000023</v>
      </c>
      <c r="C20" s="4">
        <v>22339510.790000003</v>
      </c>
      <c r="D20" s="4">
        <v>20568813.919999998</v>
      </c>
    </row>
    <row r="21" spans="1:4" x14ac:dyDescent="0.25">
      <c r="A21" s="3" t="s">
        <v>523</v>
      </c>
      <c r="B21" s="4">
        <v>157068854.63999999</v>
      </c>
      <c r="C21" s="4">
        <v>281982749.17000008</v>
      </c>
      <c r="D21" s="4">
        <v>281806796.38999999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J9"/>
  <sheetViews>
    <sheetView showGridLines="0" workbookViewId="0">
      <selection activeCell="D16" sqref="D16"/>
    </sheetView>
  </sheetViews>
  <sheetFormatPr defaultRowHeight="15" x14ac:dyDescent="0.25"/>
  <cols>
    <col min="3" max="3" width="39.7109375" customWidth="1"/>
    <col min="4" max="4" width="42.7109375" customWidth="1"/>
    <col min="5" max="5" width="40" customWidth="1"/>
    <col min="6" max="6" width="46.7109375" customWidth="1"/>
    <col min="7" max="7" width="16.5703125" customWidth="1"/>
    <col min="8" max="8" width="15.140625" customWidth="1"/>
    <col min="9" max="9" width="14.85546875" customWidth="1"/>
    <col min="10" max="10" width="9.85546875" customWidth="1"/>
  </cols>
  <sheetData>
    <row r="1" spans="1:10" x14ac:dyDescent="0.25">
      <c r="A1">
        <v>403</v>
      </c>
    </row>
    <row r="2" spans="1:10" ht="15.75" x14ac:dyDescent="0.25">
      <c r="C2" s="8" t="s">
        <v>528</v>
      </c>
    </row>
    <row r="8" spans="1:10" x14ac:dyDescent="0.25">
      <c r="C8" s="7" t="s">
        <v>2</v>
      </c>
      <c r="D8" s="7" t="s">
        <v>3</v>
      </c>
      <c r="E8" s="7" t="s">
        <v>5</v>
      </c>
      <c r="F8" s="7" t="s">
        <v>6</v>
      </c>
      <c r="G8" s="7" t="s">
        <v>7</v>
      </c>
      <c r="H8" s="7" t="s">
        <v>8</v>
      </c>
      <c r="I8" s="7" t="s">
        <v>9</v>
      </c>
      <c r="J8" s="7" t="s">
        <v>10</v>
      </c>
    </row>
    <row r="9" spans="1:10" x14ac:dyDescent="0.25">
      <c r="C9" s="5" t="str" cm="1">
        <f t="array" ref="C9">INDEX('Despesas por função (matriz)'!A2:K407,A1,3)</f>
        <v>80.10.3.3.91.97.09.271.0001.2.010.91.1100000</v>
      </c>
      <c r="D9" s="5" t="str" cm="1">
        <f t="array" ref="D9">INDEX('Despesas por função (matriz)'!A2:K407,A1,4)</f>
        <v>Encargos Gerais do Município</v>
      </c>
      <c r="E9" s="5" t="str" cm="1">
        <f t="array" ref="E9">INDEX('Despesas por função (matriz)'!C2:K407,A1,4)</f>
        <v>PREVIDÊNCIA BÁSICA</v>
      </c>
      <c r="F9" s="5" t="str" cm="1">
        <f t="array" ref="F9">INDEX('Despesas por função (matriz)'!D2:L407,A1,4)</f>
        <v>APORTE PARA COBERTURA DO DÉFICIT ATUARIAL DO RPPS</v>
      </c>
      <c r="G9" s="5" t="str" cm="1">
        <f t="array" ref="G9">INDEX('Despesas por função (matriz)'!E2:M407,A1,4)</f>
        <v>TESOURO - EXERCÍCIO ANTERIOR</v>
      </c>
      <c r="H9" s="6" cm="1">
        <f t="array" ref="H9">INDEX('Despesas por função (matriz)'!F2:N407,A1,4)</f>
        <v>5652756.54</v>
      </c>
      <c r="I9" s="6" cm="1">
        <f t="array" ref="I9">INDEX('Despesas por função (matriz)'!G2:O407,A1,4)</f>
        <v>5652756.54</v>
      </c>
      <c r="J9" s="6" cm="1">
        <f t="array" ref="J9">INDEX('Despesas por função (matriz)'!H2:P407,A1,4)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0]!Dropdown1_Alteração">
                <anchor moveWithCells="1">
                  <from>
                    <xdr:col>1</xdr:col>
                    <xdr:colOff>600075</xdr:colOff>
                    <xdr:row>4</xdr:row>
                    <xdr:rowOff>0</xdr:rowOff>
                  </from>
                  <to>
                    <xdr:col>3</xdr:col>
                    <xdr:colOff>9525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por função (matriz)</vt:lpstr>
      <vt:lpstr>Gráfico Dinâmico</vt:lpstr>
      <vt:lpstr>Formulário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Elias</cp:lastModifiedBy>
  <dcterms:created xsi:type="dcterms:W3CDTF">2023-09-06T17:47:20Z</dcterms:created>
  <dcterms:modified xsi:type="dcterms:W3CDTF">2023-09-06T20:05:32Z</dcterms:modified>
</cp:coreProperties>
</file>